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.zavala/Desktop/bobMacBackUp/Optics/Ray tracing/"/>
    </mc:Choice>
  </mc:AlternateContent>
  <xr:revisionPtr revIDLastSave="0" documentId="13_ncr:1_{ED22D768-37AF-3C4B-A1DE-8F835DBC8F70}" xr6:coauthVersionLast="47" xr6:coauthVersionMax="47" xr10:uidLastSave="{00000000-0000-0000-0000-000000000000}"/>
  <bookViews>
    <workbookView xWindow="50300" yWindow="4000" windowWidth="17800" windowHeight="12860" activeTab="1" xr2:uid="{9120E6CE-487D-4A4E-A0CB-02EC34448099}"/>
  </bookViews>
  <sheets>
    <sheet name="NOFS" sheetId="2" r:id="rId1"/>
    <sheet name="Filter glass" sheetId="4" r:id="rId2"/>
    <sheet name="40 cm Exact Ray Tra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6" i="4"/>
  <c r="E5" i="4"/>
  <c r="D3" i="4"/>
  <c r="D6" i="4"/>
  <c r="D5" i="4"/>
  <c r="P15" i="2"/>
  <c r="S15" i="2" s="1"/>
  <c r="G5" i="2"/>
  <c r="H28" i="3"/>
  <c r="H27" i="3"/>
  <c r="G26" i="3"/>
  <c r="H18" i="3"/>
  <c r="H17" i="3"/>
  <c r="H13" i="3"/>
  <c r="H12" i="3"/>
  <c r="H11" i="3"/>
  <c r="G25" i="3"/>
  <c r="G24" i="3"/>
  <c r="G23" i="3"/>
  <c r="G21" i="3"/>
  <c r="G20" i="3"/>
  <c r="G19" i="3"/>
  <c r="G18" i="3"/>
  <c r="G17" i="3"/>
  <c r="G16" i="3"/>
  <c r="G15" i="3"/>
  <c r="G14" i="3"/>
  <c r="G13" i="3"/>
  <c r="G12" i="3"/>
  <c r="G11" i="3"/>
  <c r="F26" i="3"/>
  <c r="F25" i="3"/>
  <c r="F24" i="3"/>
  <c r="F23" i="3"/>
  <c r="F21" i="3"/>
  <c r="F20" i="3"/>
  <c r="F19" i="3"/>
  <c r="F18" i="3"/>
  <c r="F17" i="3"/>
  <c r="F16" i="3"/>
  <c r="F15" i="3"/>
  <c r="F14" i="3"/>
  <c r="F13" i="3"/>
  <c r="F12" i="3"/>
  <c r="F11" i="3"/>
  <c r="K4" i="3"/>
  <c r="J4" i="3"/>
  <c r="H4" i="3"/>
  <c r="D28" i="3"/>
  <c r="D27" i="3"/>
  <c r="D18" i="3"/>
  <c r="D17" i="3"/>
  <c r="D13" i="3"/>
  <c r="D12" i="3"/>
  <c r="D11" i="3"/>
  <c r="C26" i="3"/>
  <c r="C25" i="3"/>
  <c r="C24" i="3"/>
  <c r="B24" i="3"/>
  <c r="B23" i="3"/>
  <c r="C12" i="3"/>
  <c r="C14" i="3" s="1"/>
  <c r="C13" i="3"/>
  <c r="C15" i="3" s="1"/>
  <c r="C11" i="3"/>
  <c r="B26" i="3"/>
  <c r="B25" i="3"/>
  <c r="H3" i="3"/>
  <c r="B11" i="3"/>
  <c r="B13" i="3" s="1"/>
  <c r="J3" i="3"/>
  <c r="K3" i="3"/>
  <c r="V15" i="2"/>
  <c r="U15" i="2"/>
  <c r="T15" i="2"/>
  <c r="R15" i="2"/>
  <c r="Q15" i="2"/>
  <c r="L15" i="2"/>
  <c r="E5" i="2"/>
  <c r="C15" i="2"/>
  <c r="H15" i="2"/>
  <c r="F15" i="2"/>
  <c r="D15" i="2"/>
  <c r="P13" i="2"/>
  <c r="N13" i="2"/>
  <c r="M13" i="2"/>
  <c r="O13" i="2"/>
  <c r="L13" i="2"/>
  <c r="K13" i="2"/>
  <c r="J13" i="2"/>
  <c r="I13" i="2"/>
  <c r="E13" i="2"/>
  <c r="B15" i="2"/>
  <c r="H13" i="2"/>
  <c r="G13" i="2"/>
  <c r="F13" i="2"/>
  <c r="B13" i="2"/>
  <c r="W9" i="2"/>
  <c r="W11" i="2" s="1"/>
  <c r="V9" i="2"/>
  <c r="V11" i="2" s="1"/>
  <c r="U9" i="2"/>
  <c r="U11" i="2" s="1"/>
  <c r="J9" i="2"/>
  <c r="C9" i="2"/>
  <c r="B9" i="2"/>
  <c r="G9" i="2" s="1"/>
  <c r="C20" i="3" l="1"/>
  <c r="C21" i="3" s="1"/>
  <c r="C16" i="3"/>
  <c r="B12" i="3"/>
  <c r="B14" i="3"/>
  <c r="I9" i="2"/>
  <c r="D9" i="2"/>
  <c r="F9" i="2" s="1"/>
  <c r="H9" i="2" s="1"/>
  <c r="C17" i="3" l="1"/>
  <c r="C23" i="3" s="1"/>
  <c r="C19" i="3"/>
  <c r="C18" i="3"/>
  <c r="B15" i="3"/>
  <c r="B20" i="3" s="1"/>
  <c r="B21" i="3" s="1"/>
  <c r="B16" i="3"/>
  <c r="L9" i="2"/>
  <c r="S9" i="2"/>
  <c r="S11" i="2" s="1"/>
  <c r="R9" i="2"/>
  <c r="R11" i="2" s="1"/>
  <c r="T9" i="2"/>
  <c r="T11" i="2" s="1"/>
  <c r="N9" i="2"/>
  <c r="K9" i="2"/>
  <c r="E9" i="2"/>
  <c r="B19" i="3" l="1"/>
  <c r="B18" i="3"/>
  <c r="B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tc={3AAA742A-42EE-1F4C-8616-8A30E5484FAF}</author>
    <author>tc={F9882FAB-93DB-5647-BA7C-89133B595DF4}</author>
    <author>tc={CF0EF70F-F87A-7C4E-8A0D-AAFBDACFA8BF}</author>
    <author>tc={F0B50C6E-B471-C840-AFAF-86D29A3A3206}</author>
    <author>tc={CCA9F9D2-3867-8D4C-B412-C3214225D83E}</author>
    <author>tc={B3EE743C-9DC9-9C46-A724-E50D33845875}</author>
    <author>tc={1D03FF7D-1DF4-0243-8510-3D2521588EE3}</author>
    <author>tc={8B232EF6-38AE-8940-9673-E83B3C93B41C}</author>
    <author>tc={14660CF1-6C30-3C48-AECC-3895F8B1520C}</author>
    <author>tc={EA2FF422-D5E7-A544-BFFA-D745CCAE8021}</author>
    <author>tc={0D1CF9BB-F572-C64C-A7BB-3246AECD9042}</author>
    <author>tc={85E3B126-43D6-094E-B8BE-A27C4989E2BE}</author>
    <author>tc={9D1DBCD1-66F9-FC43-A270-B8AA33D3D9BA}</author>
    <author>tc={599CDE9C-DE6D-D24E-B887-9F3C4EE18425}</author>
    <author>tc={7431E541-2B88-C945-A634-8CBA58C41BA2}</author>
    <author>tc={814CFA3D-FA54-9444-9151-BCA2F1EDADCD}</author>
    <author>tc={657B9C48-B428-3C40-8068-34DECA5F33A6}</author>
    <author>tc={D9869BD4-6229-984D-AA75-E2711985E400}</author>
    <author>tc={7B1F4DCB-9E16-DF4A-AABB-8CB4BFB2BBBF}</author>
    <author>tc={E9CD66AE-FB9F-574A-B74C-C41D982DEA62}</author>
    <author>tc={671D3686-500B-8C4F-ABC4-908D8B045A47}</author>
  </authors>
  <commentList>
    <comment ref="A5" authorId="0" shapeId="0" xr:uid="{3AAA742A-42EE-1F4C-8616-8A30E5484F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Many quantities derived from measurements and a scale drawing. </t>
      </text>
    </comment>
    <comment ref="E5" authorId="1" shapeId="0" xr:uid="{F9882FAB-93DB-5647-BA7C-89133B595D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Eqn. 90 of telescope-optics.net in Section 8.2.4 or I could use Schroeder, Table 6.4 at the bottom for the relation between K1 and K2. Then setK2 = 0. </t>
      </text>
    </comment>
    <comment ref="F5" authorId="2" shapeId="0" xr:uid="{CF0EF70F-F87A-7C4E-8A0D-AAFBDACFA8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measured on the scale drawing, converted by the scale. </t>
      </text>
    </comment>
    <comment ref="A7" authorId="3" shapeId="0" xr:uid="{F0B50C6E-B471-C840-AFAF-86D29A3A3206}">
      <text>
        <t>[Threaded comment]
Your version of Excel allows you to read this threaded comment; however, any edits to it will get removed if the file is opened in a newer version of Excel. Learn more: https://go.microsoft.com/fwlink/?linkid=870924
Comment:
    Spherical aberration wavefront error peak to valley error for a Dall-Kirkham telescope with K2 = zero.</t>
      </text>
    </comment>
    <comment ref="F7" authorId="4" shapeId="0" xr:uid="{CCA9F9D2-3867-8D4C-B412-C3214225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and primary F numbers</t>
      </text>
    </comment>
    <comment ref="G7" authorId="5" shapeId="0" xr:uid="{B3EE743C-9DC9-9C46-A724-E50D338458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i-prime and i image distances</t>
      </text>
    </comment>
    <comment ref="L7" authorId="6" shapeId="0" xr:uid="{1D03FF7D-1DF4-0243-8510-3D2521588EE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value of K1 using m and eta.</t>
      </text>
    </comment>
    <comment ref="N7" authorId="7" shapeId="0" xr:uid="{8B232EF6-38AE-8940-9673-E83B3C93B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value of K2 using m for no spherical aberration </t>
      </text>
    </comment>
    <comment ref="R7" authorId="8" shapeId="0" xr:uid="{14660CF1-6C30-3C48-AECC-3895F8B152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error at diffraction focus for astigmatism (telescope-optics.net Eqn.  84.2 Sec. 8.2.2) using as built K1 and K2 from blueprints. Angles are in multiples of 1/3 of the way along the radius of an Andor Marana 2048 sCMOS 11-micron pixel camera. </t>
      </text>
    </comment>
    <comment ref="S7" authorId="9" shapeId="0" xr:uid="{EA2FF422-D5E7-A544-BFFA-D745CCAE80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T7" authorId="10" shapeId="0" xr:uid="{0D1CF9BB-F572-C64C-A7BB-3246AECD90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U7" authorId="11" shapeId="0" xr:uid="{85E3B126-43D6-094E-B8BE-A27C4989E2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  <comment ref="V7" authorId="12" shapeId="0" xr:uid="{9D1DBCD1-66F9-FC43-A270-B8AA33D3D9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  <comment ref="W7" authorId="13" shapeId="0" xr:uid="{599CDE9C-DE6D-D24E-B887-9F3C4EE184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  <comment ref="I12" authorId="14" shapeId="0" xr:uid="{7431E541-2B88-C945-A634-8CBA58C41B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not allow for stop at secondary. </t>
      </text>
    </comment>
    <comment ref="J12" authorId="15" shapeId="0" xr:uid="{814CFA3D-FA54-9444-9151-BCA2F1EDAD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allow for stop at secondary.</t>
      </text>
    </comment>
    <comment ref="O12" authorId="16" shapeId="0" xr:uid="{657B9C48-B428-3C40-8068-34DECA5F33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telescope-optics.net Sections 4.3 and 4.2 in which Delta is defined in equation 21. </t>
      </text>
    </comment>
    <comment ref="P12" authorId="17" shapeId="0" xr:uid="{D9869BD4-6229-984D-AA75-E2711985E4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Assumes a 2048 square detector, 15 micron pixels with max image height of 15.36 mm rounded to 15mm and max normalized pupil radius = 1, telescope-optics.net Eqn. 31. I think the sign is correct as it should curve away from the focal plane and point away from the secondary. Without the secondary the curvature "curves" away from the primary. </t>
      </text>
    </comment>
    <comment ref="F14" authorId="18" shapeId="0" xr:uid="{7B1F4DCB-9E16-DF4A-AABB-8CB4BFB2BB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and primary F numbers</t>
      </text>
    </comment>
    <comment ref="G14" authorId="19" shapeId="0" xr:uid="{E9CD66AE-FB9F-574A-B74C-C41D982DE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i-prime and i image distances</t>
      </text>
    </comment>
    <comment ref="V14" authorId="20" shapeId="0" xr:uid="{671D3686-500B-8C4F-ABC4-908D8B045A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is, in terms of system focal length, 0.38 f.l. and larger to the "best astigmatic" median Rm of 0.3 of system f.l. for a classical Cassegrain and R-C which would be a bit less than 0.3 for 1.89 secondary magnification. D-K is slightly more curved.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tc={303AE714-7CBE-334B-A645-98D535E2AC2B}</author>
  </authors>
  <commentList>
    <comment ref="A1" authorId="0" shapeId="0" xr:uid="{303AE714-7CBE-334B-A645-98D535E2AC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us.shop.schott.com/ and Doi et al. 2010 AJ, 139, 1628 to match glass to filters for SDSS.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tc={164D0010-E569-924F-BA13-1C3EDB91DED7}</author>
  </authors>
  <commentList>
    <comment ref="N3" authorId="0" shapeId="0" xr:uid="{164D0010-E569-924F-BA13-1C3EDB91DED7}">
      <text>
        <t>[Threaded comment]
Your version of Excel allows you to read this threaded comment; however, any edits to it will get removed if the file is opened in a newer version of Excel. Learn more: https://go.microsoft.com/fwlink/?linkid=870924
Comment:
    1215 mm is the focal plane location via a paraxial y-nu ray trace. Using the 1:5.3 scale drawing the focus via the back focal length to presumed secondary mirror surface is 1220  mm.</t>
      </text>
    </comment>
  </commentList>
</comments>
</file>

<file path=xl/sharedStrings.xml><?xml version="1.0" encoding="utf-8"?>
<sst xmlns="http://schemas.openxmlformats.org/spreadsheetml/2006/main" count="173" uniqueCount="127">
  <si>
    <t>Diam. (mm)</t>
  </si>
  <si>
    <r>
      <t>R</t>
    </r>
    <r>
      <rPr>
        <b/>
        <vertAlign val="subscript"/>
        <sz val="12"/>
        <color theme="1"/>
        <rFont val="Aptos Narrow (Body)"/>
      </rPr>
      <t>1</t>
    </r>
  </si>
  <si>
    <r>
      <rPr>
        <b/>
        <sz val="12"/>
        <color theme="1"/>
        <rFont val="Aptos Narrow (Body)"/>
      </rPr>
      <t>K</t>
    </r>
    <r>
      <rPr>
        <b/>
        <vertAlign val="subscript"/>
        <sz val="12"/>
        <color theme="1"/>
        <rFont val="Aptos Narrow (Body)"/>
      </rPr>
      <t>1</t>
    </r>
  </si>
  <si>
    <r>
      <t>R</t>
    </r>
    <r>
      <rPr>
        <b/>
        <vertAlign val="subscript"/>
        <sz val="12"/>
        <color theme="1"/>
        <rFont val="Aptos Narrow (Body)"/>
      </rPr>
      <t>2</t>
    </r>
  </si>
  <si>
    <r>
      <t>K</t>
    </r>
    <r>
      <rPr>
        <b/>
        <vertAlign val="subscript"/>
        <sz val="12"/>
        <color theme="1"/>
        <rFont val="Aptos Narrow (Body)"/>
      </rPr>
      <t>2</t>
    </r>
  </si>
  <si>
    <r>
      <t>S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- M</t>
    </r>
    <r>
      <rPr>
        <b/>
        <vertAlign val="subscript"/>
        <sz val="12"/>
        <color theme="1"/>
        <rFont val="Aptos Narrow (Body)"/>
      </rPr>
      <t>2</t>
    </r>
  </si>
  <si>
    <r>
      <t>R</t>
    </r>
    <r>
      <rPr>
        <b/>
        <vertAlign val="subscript"/>
        <sz val="12"/>
        <color theme="1"/>
        <rFont val="Aptos Narrow (Body)"/>
      </rPr>
      <t>3</t>
    </r>
  </si>
  <si>
    <r>
      <t>S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3</t>
    </r>
  </si>
  <si>
    <r>
      <t>R</t>
    </r>
    <r>
      <rPr>
        <b/>
        <vertAlign val="subscript"/>
        <sz val="12"/>
        <color theme="1"/>
        <rFont val="Aptos Narrow (Body)"/>
      </rPr>
      <t>4</t>
    </r>
  </si>
  <si>
    <r>
      <t>S</t>
    </r>
    <r>
      <rPr>
        <b/>
        <vertAlign val="subscript"/>
        <sz val="12"/>
        <color theme="1"/>
        <rFont val="Aptos Narrow (Body)"/>
      </rPr>
      <t>4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4</t>
    </r>
  </si>
  <si>
    <r>
      <t>R</t>
    </r>
    <r>
      <rPr>
        <b/>
        <vertAlign val="subscript"/>
        <sz val="12"/>
        <color theme="1"/>
        <rFont val="Aptos Narrow (Body)"/>
      </rPr>
      <t>5</t>
    </r>
  </si>
  <si>
    <r>
      <t>S</t>
    </r>
    <r>
      <rPr>
        <b/>
        <vertAlign val="subscript"/>
        <sz val="12"/>
        <color theme="1"/>
        <rFont val="Aptos Narrow (Body)"/>
      </rPr>
      <t>5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5</t>
    </r>
  </si>
  <si>
    <r>
      <t>R</t>
    </r>
    <r>
      <rPr>
        <b/>
        <vertAlign val="subscript"/>
        <sz val="12"/>
        <color theme="1"/>
        <rFont val="Aptos Narrow (Body)"/>
      </rPr>
      <t>6</t>
    </r>
  </si>
  <si>
    <r>
      <t>S</t>
    </r>
    <r>
      <rPr>
        <b/>
        <vertAlign val="subscript"/>
        <sz val="12"/>
        <color theme="1"/>
        <rFont val="Aptos Narrow (Body)"/>
      </rPr>
      <t>6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6</t>
    </r>
  </si>
  <si>
    <r>
      <t>R</t>
    </r>
    <r>
      <rPr>
        <b/>
        <vertAlign val="subscript"/>
        <sz val="12"/>
        <color theme="1"/>
        <rFont val="Aptos Narrow (Body)"/>
      </rPr>
      <t>7</t>
    </r>
  </si>
  <si>
    <r>
      <t>S</t>
    </r>
    <r>
      <rPr>
        <b/>
        <vertAlign val="subscript"/>
        <sz val="12"/>
        <color theme="1"/>
        <rFont val="Aptos Narrow (Body)"/>
      </rPr>
      <t>7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7</t>
    </r>
  </si>
  <si>
    <r>
      <t>R</t>
    </r>
    <r>
      <rPr>
        <b/>
        <vertAlign val="subscript"/>
        <sz val="12"/>
        <color theme="1"/>
        <rFont val="Aptos Narrow (Body)"/>
      </rPr>
      <t>I</t>
    </r>
  </si>
  <si>
    <t>Glass</t>
  </si>
  <si>
    <r>
      <t>F</t>
    </r>
    <r>
      <rPr>
        <b/>
        <vertAlign val="subscript"/>
        <sz val="12"/>
        <color theme="1"/>
        <rFont val="Aptos Narrow (Body)"/>
      </rPr>
      <t>1</t>
    </r>
  </si>
  <si>
    <t>Factor (mm)</t>
  </si>
  <si>
    <r>
      <t>m</t>
    </r>
    <r>
      <rPr>
        <b/>
        <vertAlign val="subscript"/>
        <sz val="12"/>
        <color theme="1"/>
        <rFont val="Aptos Narrow (Body)"/>
      </rPr>
      <t>F</t>
    </r>
  </si>
  <si>
    <r>
      <t>m</t>
    </r>
    <r>
      <rPr>
        <b/>
        <vertAlign val="subscript"/>
        <sz val="12"/>
        <color theme="1"/>
        <rFont val="Aptos Narrow (Body)"/>
      </rPr>
      <t>i</t>
    </r>
  </si>
  <si>
    <t>m(avg)</t>
  </si>
  <si>
    <t>η</t>
  </si>
  <si>
    <t>k</t>
  </si>
  <si>
    <t>ρ</t>
  </si>
  <si>
    <r>
      <t>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(arcmin)</t>
    </r>
  </si>
  <si>
    <r>
      <t>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(arcmin)</t>
    </r>
  </si>
  <si>
    <t>Big 3</t>
  </si>
  <si>
    <t>61-inch</t>
  </si>
  <si>
    <t>40-inch</t>
  </si>
  <si>
    <t>1.3 m</t>
  </si>
  <si>
    <t>BK7(?)</t>
  </si>
  <si>
    <t>K1 = -1</t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</si>
  <si>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</si>
  <si>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(nm)</t>
    </r>
  </si>
  <si>
    <t>Estimated value of K1</t>
  </si>
  <si>
    <t xml:space="preserve"> Estimated value of K2</t>
  </si>
  <si>
    <r>
      <t>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(arcmin)</t>
    </r>
  </si>
  <si>
    <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P-V error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(nm)</t>
    </r>
  </si>
  <si>
    <t>1.3 m w/out corr.</t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</si>
  <si>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</si>
  <si>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P-V error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(nm)</t>
    </r>
  </si>
  <si>
    <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P-V error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</si>
  <si>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</si>
  <si>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</si>
  <si>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</si>
  <si>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C</t>
    </r>
    <r>
      <rPr>
        <b/>
        <sz val="12"/>
        <color theme="1"/>
        <rFont val="Aptos Narrow (Body)"/>
      </rPr>
      <t xml:space="preserve"> 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</si>
  <si>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</si>
  <si>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C</t>
    </r>
    <r>
      <rPr>
        <b/>
        <sz val="12"/>
        <color theme="1"/>
        <rFont val="Aptos Narrow (Body)"/>
      </rPr>
      <t xml:space="preserve"> 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(nm)</t>
    </r>
  </si>
  <si>
    <t>Aplanat Wavefront error check</t>
  </si>
  <si>
    <t>Folded Newtonian Wavefront error check</t>
  </si>
  <si>
    <r>
      <t>f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(mm)</t>
    </r>
  </si>
  <si>
    <r>
      <t>f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(mm)</t>
    </r>
  </si>
  <si>
    <t>F/</t>
  </si>
  <si>
    <t>Dall-Kirkham</t>
  </si>
  <si>
    <t>40-cm</t>
  </si>
  <si>
    <t>Astigmatism stop coefficient</t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</si>
  <si>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w/ stop coeff.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</si>
  <si>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w/ stop coeff.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(nm) </t>
    </r>
  </si>
  <si>
    <r>
      <t>W</t>
    </r>
    <r>
      <rPr>
        <b/>
        <vertAlign val="subscript"/>
        <sz val="12"/>
        <color theme="1"/>
        <rFont val="Aptos Narrow (Body)"/>
      </rPr>
      <t xml:space="preserve">curv </t>
    </r>
    <r>
      <rPr>
        <b/>
        <sz val="12"/>
        <color theme="1"/>
        <rFont val="Aptos Narrow (Body)"/>
      </rPr>
      <t>max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 xml:space="preserve">pupil height </t>
    </r>
    <r>
      <rPr>
        <b/>
        <sz val="12"/>
        <color theme="1"/>
        <rFont val="Aptos Narrow"/>
        <scheme val="minor"/>
      </rPr>
      <t>(nm)</t>
    </r>
  </si>
  <si>
    <t>40-cm w/out corr</t>
  </si>
  <si>
    <t>Secondary Diameter (est.) (mm)</t>
  </si>
  <si>
    <r>
      <rPr>
        <b/>
        <sz val="12"/>
        <color theme="1"/>
        <rFont val="Aptos Narrow (Body)"/>
      </rPr>
      <t>M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- M</t>
    </r>
    <r>
      <rPr>
        <b/>
        <vertAlign val="subscript"/>
        <sz val="12"/>
        <color theme="1"/>
        <rFont val="Aptos Narrow (Body)"/>
      </rPr>
      <t>2</t>
    </r>
  </si>
  <si>
    <r>
      <t>coma aberration coefficient c</t>
    </r>
    <r>
      <rPr>
        <b/>
        <vertAlign val="subscript"/>
        <sz val="12"/>
        <color theme="1"/>
        <rFont val="Aptos Narrow (Body)"/>
      </rPr>
      <t>dk</t>
    </r>
    <r>
      <rPr>
        <b/>
        <sz val="12"/>
        <color theme="1"/>
        <rFont val="Aptos Narrow"/>
        <scheme val="minor"/>
      </rPr>
      <t xml:space="preserve"> (1/mm</t>
    </r>
    <r>
      <rPr>
        <b/>
        <vertAlign val="super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>)</t>
    </r>
  </si>
  <si>
    <r>
      <t>Median field curvature R</t>
    </r>
    <r>
      <rPr>
        <b/>
        <vertAlign val="subscript"/>
        <sz val="12"/>
        <color theme="1"/>
        <rFont val="Aptos Narrow (Body)"/>
      </rPr>
      <t>m</t>
    </r>
    <r>
      <rPr>
        <b/>
        <sz val="12"/>
        <color theme="1"/>
        <rFont val="Aptos Narrow"/>
        <scheme val="minor"/>
      </rPr>
      <t xml:space="preserve"> (mm)</t>
    </r>
  </si>
  <si>
    <t>Telescope</t>
  </si>
  <si>
    <r>
      <t>L</t>
    </r>
    <r>
      <rPr>
        <b/>
        <vertAlign val="subscript"/>
        <sz val="12"/>
        <color theme="1"/>
        <rFont val="Aptos Narrow (Body)"/>
      </rPr>
      <t>0</t>
    </r>
  </si>
  <si>
    <r>
      <t>M</t>
    </r>
    <r>
      <rPr>
        <b/>
        <vertAlign val="subscript"/>
        <sz val="12"/>
        <color theme="1"/>
        <rFont val="Aptos Narrow (Body)"/>
      </rPr>
      <t>0</t>
    </r>
  </si>
  <si>
    <r>
      <t>N</t>
    </r>
    <r>
      <rPr>
        <b/>
        <vertAlign val="subscript"/>
        <sz val="12"/>
        <color theme="1"/>
        <rFont val="Aptos Narrow (Body)"/>
      </rPr>
      <t>0</t>
    </r>
  </si>
  <si>
    <t>Exact Ray Trace</t>
  </si>
  <si>
    <t>G</t>
  </si>
  <si>
    <t>F</t>
  </si>
  <si>
    <t>Direction cosine check</t>
  </si>
  <si>
    <r>
      <t>cos(I</t>
    </r>
    <r>
      <rPr>
        <b/>
        <vertAlign val="subscript"/>
        <sz val="12"/>
        <color theme="1"/>
        <rFont val="Palatino Linotype"/>
        <family val="1"/>
      </rPr>
      <t>i</t>
    </r>
    <r>
      <rPr>
        <b/>
        <sz val="12"/>
        <color theme="1"/>
        <rFont val="Palatino Linotype"/>
        <family val="1"/>
      </rPr>
      <t>)</t>
    </r>
  </si>
  <si>
    <r>
      <t>L</t>
    </r>
    <r>
      <rPr>
        <b/>
        <vertAlign val="subscript"/>
        <sz val="12"/>
        <color theme="1"/>
        <rFont val="Palatino Linotype"/>
        <family val="1"/>
      </rPr>
      <t>i</t>
    </r>
  </si>
  <si>
    <r>
      <t>M</t>
    </r>
    <r>
      <rPr>
        <b/>
        <vertAlign val="subscript"/>
        <sz val="12"/>
        <color theme="1"/>
        <rFont val="Palatino Linotype"/>
        <family val="1"/>
      </rPr>
      <t>i</t>
    </r>
  </si>
  <si>
    <r>
      <t>N</t>
    </r>
    <r>
      <rPr>
        <b/>
        <vertAlign val="subscript"/>
        <sz val="12"/>
        <color theme="1"/>
        <rFont val="Palatino Linotype"/>
        <family val="1"/>
      </rPr>
      <t>i</t>
    </r>
  </si>
  <si>
    <t>Δ</t>
  </si>
  <si>
    <t>γ</t>
  </si>
  <si>
    <t>Name</t>
  </si>
  <si>
    <t>Full Radius Marginal Ray</t>
  </si>
  <si>
    <r>
      <t>μ</t>
    </r>
    <r>
      <rPr>
        <b/>
        <vertAlign val="subscript"/>
        <sz val="12"/>
        <color theme="1"/>
        <rFont val="Cambria Math"/>
        <family val="1"/>
      </rPr>
      <t>i</t>
    </r>
  </si>
  <si>
    <t>to Mirror 1    (0 - 1)</t>
  </si>
  <si>
    <t>to Mirror 2 (1 - 2)</t>
  </si>
  <si>
    <t>to Focal Plane (2 -3)</t>
  </si>
  <si>
    <t>---</t>
  </si>
  <si>
    <r>
      <t>T for Y</t>
    </r>
    <r>
      <rPr>
        <b/>
        <vertAlign val="subscript"/>
        <sz val="12"/>
        <color theme="1"/>
        <rFont val="Palatino Linotype"/>
        <family val="1"/>
      </rPr>
      <t>3</t>
    </r>
    <r>
      <rPr>
        <b/>
        <sz val="12"/>
        <color theme="1"/>
        <rFont val="Palatino Linotype"/>
        <family val="1"/>
      </rPr>
      <t xml:space="preserve"> = 0.0 (mm)</t>
    </r>
  </si>
  <si>
    <t>t2 for diffraction focus (mm)</t>
  </si>
  <si>
    <r>
      <t>Z</t>
    </r>
    <r>
      <rPr>
        <b/>
        <vertAlign val="subscript"/>
        <sz val="12"/>
        <color theme="1"/>
        <rFont val="Palatino Linotype"/>
        <family val="1"/>
      </rPr>
      <t>i</t>
    </r>
    <r>
      <rPr>
        <b/>
        <sz val="12"/>
        <color theme="1"/>
        <rFont val="Palatino Linotype"/>
        <family val="1"/>
      </rPr>
      <t xml:space="preserve"> (mm)</t>
    </r>
  </si>
  <si>
    <r>
      <t>Y</t>
    </r>
    <r>
      <rPr>
        <b/>
        <vertAlign val="subscript"/>
        <sz val="12"/>
        <color theme="1"/>
        <rFont val="Palatino Linotype"/>
        <family val="1"/>
      </rPr>
      <t>i</t>
    </r>
    <r>
      <rPr>
        <b/>
        <sz val="12"/>
        <color theme="1"/>
        <rFont val="Palatino Linotype"/>
        <family val="1"/>
      </rPr>
      <t xml:space="preserve"> (mm)</t>
    </r>
  </si>
  <si>
    <r>
      <t>X</t>
    </r>
    <r>
      <rPr>
        <b/>
        <vertAlign val="subscript"/>
        <sz val="12"/>
        <color theme="1"/>
        <rFont val="Palatino Linotype"/>
        <family val="1"/>
      </rPr>
      <t>i</t>
    </r>
    <r>
      <rPr>
        <b/>
        <sz val="12"/>
        <color theme="1"/>
        <rFont val="Palatino Linotype"/>
        <family val="1"/>
      </rPr>
      <t xml:space="preserve"> (mm)</t>
    </r>
  </si>
  <si>
    <t>(mm)</t>
  </si>
  <si>
    <t>ξ   (mm)</t>
  </si>
  <si>
    <t>T (mm)</t>
  </si>
  <si>
    <r>
      <t>X</t>
    </r>
    <r>
      <rPr>
        <b/>
        <vertAlign val="subscript"/>
        <sz val="12"/>
        <color theme="1"/>
        <rFont val="Aptos Narrow (Body)"/>
      </rPr>
      <t>0</t>
    </r>
    <r>
      <rPr>
        <b/>
        <sz val="12"/>
        <color theme="1"/>
        <rFont val="Aptos Narrow"/>
        <scheme val="minor"/>
      </rPr>
      <t xml:space="preserve"> (mm)</t>
    </r>
  </si>
  <si>
    <r>
      <t>Y</t>
    </r>
    <r>
      <rPr>
        <b/>
        <vertAlign val="subscript"/>
        <sz val="12"/>
        <color theme="1"/>
        <rFont val="Aptos Narrow (Body)"/>
      </rPr>
      <t>0</t>
    </r>
    <r>
      <rPr>
        <b/>
        <sz val="12"/>
        <color theme="1"/>
        <rFont val="Aptos Narrow"/>
        <scheme val="minor"/>
      </rPr>
      <t xml:space="preserve"> (mm)</t>
    </r>
  </si>
  <si>
    <r>
      <t>Z</t>
    </r>
    <r>
      <rPr>
        <b/>
        <vertAlign val="subscript"/>
        <sz val="12"/>
        <color theme="1"/>
        <rFont val="Aptos Narrow (Body)"/>
      </rPr>
      <t>0</t>
    </r>
    <r>
      <rPr>
        <b/>
        <sz val="12"/>
        <color theme="1"/>
        <rFont val="Aptos Narrow"/>
        <scheme val="minor"/>
      </rPr>
      <t xml:space="preserve"> (mm)</t>
    </r>
  </si>
  <si>
    <r>
      <t>t</t>
    </r>
    <r>
      <rPr>
        <b/>
        <vertAlign val="subscript"/>
        <sz val="12"/>
        <color theme="1"/>
        <rFont val="Aptos Narrow (Body)"/>
      </rPr>
      <t>0</t>
    </r>
    <r>
      <rPr>
        <b/>
        <sz val="12"/>
        <color theme="1"/>
        <rFont val="Aptos Narrow"/>
        <scheme val="minor"/>
      </rPr>
      <t xml:space="preserve"> (mm)</t>
    </r>
  </si>
  <si>
    <r>
      <t>R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(mm)</t>
    </r>
  </si>
  <si>
    <r>
      <t>R</t>
    </r>
    <r>
      <rPr>
        <b/>
        <vertAlign val="subscript"/>
        <sz val="12"/>
        <color theme="1"/>
        <rFont val="Abadi MT Condensed Extra Bold"/>
        <family val="2"/>
      </rPr>
      <t>2</t>
    </r>
    <r>
      <rPr>
        <b/>
        <sz val="12"/>
        <color theme="1"/>
        <rFont val="Aptos Narrow"/>
        <scheme val="minor"/>
      </rPr>
      <t xml:space="preserve"> (mm)</t>
    </r>
  </si>
  <si>
    <r>
      <t>c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(1/mm)</t>
    </r>
  </si>
  <si>
    <r>
      <t>c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(1/mm)</t>
    </r>
  </si>
  <si>
    <t>t1 (mm)</t>
  </si>
  <si>
    <t>t2 (focus) (mm)</t>
  </si>
  <si>
    <t>Min. Radius Marginal Ray</t>
  </si>
  <si>
    <t>40cm</t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</si>
  <si>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C</t>
    </r>
    <r>
      <rPr>
        <b/>
        <sz val="12"/>
        <color theme="1"/>
        <rFont val="Aptos Narrow (Body)"/>
      </rPr>
      <t xml:space="preserve"> P - 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 xml:space="preserve">at         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</si>
  <si>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C</t>
    </r>
    <r>
      <rPr>
        <b/>
        <sz val="12"/>
        <color theme="1"/>
        <rFont val="Aptos Narrow (Body)"/>
      </rPr>
      <t xml:space="preserve"> P - V at</t>
    </r>
    <r>
      <rPr>
        <b/>
        <sz val="12"/>
        <color theme="1"/>
        <rFont val="Aptos Narrow"/>
        <family val="2"/>
        <scheme val="minor"/>
      </rPr>
      <t xml:space="preserve">  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</si>
  <si>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 xml:space="preserve">P - V 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 xml:space="preserve">at 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</si>
  <si>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 xml:space="preserve">at   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(nm)</t>
    </r>
  </si>
  <si>
    <t>Filter</t>
  </si>
  <si>
    <t xml:space="preserve">glass </t>
  </si>
  <si>
    <t>SDSS u</t>
  </si>
  <si>
    <t>SDSS g</t>
  </si>
  <si>
    <t>SDSS r</t>
  </si>
  <si>
    <t>SDSS i</t>
  </si>
  <si>
    <t>SDSS z</t>
  </si>
  <si>
    <t>BG38/UG11</t>
  </si>
  <si>
    <t>GG400</t>
  </si>
  <si>
    <t>OG550</t>
  </si>
  <si>
    <t>RG695</t>
  </si>
  <si>
    <t>RG830</t>
  </si>
  <si>
    <r>
      <t>n</t>
    </r>
    <r>
      <rPr>
        <b/>
        <vertAlign val="subscript"/>
        <sz val="12"/>
        <color theme="1"/>
        <rFont val="Aptos Narrow (Body)"/>
      </rPr>
      <t>d</t>
    </r>
  </si>
  <si>
    <t>1.527/1.563</t>
  </si>
  <si>
    <t>Offset from SDSS r                    (5 mm filters) (mm)</t>
  </si>
  <si>
    <t>Offset from SDSS r                    (7.5 mm filters)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</si>
</sst>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E+00"/>
    <numFmt numFmtId="165" formatCode="0.000"/>
    <numFmt numFmtId="166" formatCode="0.0000"/>
    <numFmt numFmtId="167" formatCode="0.0"/>
    <numFmt numFmtId="168" formatCode="0.0000E+00"/>
    <numFmt numFmtId="169" formatCode="0.000000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vertAlign val="subscript"/>
      <sz val="12"/>
      <color theme="1"/>
      <name val="Aptos Narrow (Body)"/>
    </font>
    <font>
      <b/>
      <sz val="12"/>
      <color theme="1"/>
      <name val="Aptos Narrow (Body)"/>
    </font>
    <font>
      <b/>
      <vertAlign val="superscript"/>
      <sz val="12"/>
      <color theme="1"/>
      <name val="Aptos Narrow (Body)"/>
    </font>
    <font>
      <b/>
      <vertAlign val="subscript"/>
      <sz val="12"/>
      <color theme="1"/>
      <name val="Abadi MT Condensed Extra Bold"/>
      <family val="2"/>
    </font>
    <font>
      <b/>
      <sz val="12"/>
      <color theme="1"/>
      <name val="Palatino Linotype"/>
      <family val="1"/>
    </font>
    <font>
      <b/>
      <vertAlign val="subscript"/>
      <sz val="12"/>
      <color theme="1"/>
      <name val="Palatino Linotype"/>
      <family val="1"/>
    </font>
    <font>
      <b/>
      <sz val="12"/>
      <color theme="1"/>
      <name val="Cambria Math"/>
      <family val="1"/>
    </font>
    <font>
      <b/>
      <vertAlign val="subscript"/>
      <sz val="12"/>
      <color theme="1"/>
      <name val="Cambria Math"/>
      <family val="1"/>
    </font>
    <font>
      <b/>
      <sz val="14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9" fontId="0" fillId="0" borderId="0" xfId="0" applyNumberFormat="1" applyAlignment="1">
      <alignment horizontal="center" wrapText="1"/>
    </xf>
    <xf numFmtId="0" fontId="11" fillId="0" borderId="0" xfId="0" quotePrefix="1" applyFont="1" applyAlignment="1">
      <alignment horizontal="center"/>
    </xf>
    <xf numFmtId="0" fontId="1" fillId="0" borderId="0" xfId="0" quotePrefix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34773</xdr:colOff>
      <xdr:row>11</xdr:row>
      <xdr:rowOff>14512</xdr:rowOff>
    </xdr:from>
    <xdr:ext cx="201084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4ACDFF9-E7E7-F7C3-C321-6206A2092DD7}"/>
                </a:ext>
              </a:extLst>
            </xdr:cNvPr>
            <xdr:cNvSpPr txBox="1"/>
          </xdr:nvSpPr>
          <xdr:spPr>
            <a:xfrm>
              <a:off x="34773" y="3107869"/>
              <a:ext cx="201084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𝝌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4ACDFF9-E7E7-F7C3-C321-6206A2092DD7}"/>
                </a:ext>
              </a:extLst>
            </xdr:cNvPr>
            <xdr:cNvSpPr txBox="1"/>
          </xdr:nvSpPr>
          <xdr:spPr>
            <a:xfrm>
              <a:off x="34773" y="3107869"/>
              <a:ext cx="201084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𝝌</a:t>
              </a:r>
              <a:endParaRPr lang="en-US" sz="1200" b="1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avala, Robert T (Bob) JR CIV USN NAVOBSYSTA FLG AZ (USA)" id="{8C851638-141B-034A-B4A3-8E6355A961FE}" userId="S::robert.t.zavala.civ@us.navy.mil::0e525848-4c34-445f-9460-d81d21eb6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1-15T22:36:59.91" personId="{8C851638-141B-034A-B4A3-8E6355A961FE}" id="{3AAA742A-42EE-1F4C-8616-8A30E5484FAF}">
    <text xml:space="preserve">Many quantities derived from measurements and a scale drawing. </text>
  </threadedComment>
  <threadedComment ref="E5" dT="2026-01-16T22:06:24.79" personId="{8C851638-141B-034A-B4A3-8E6355A961FE}" id="{F9882FAB-93DB-5647-BA7C-89133B595DF4}">
    <text xml:space="preserve">Using Eqn. 90 of telescope-optics.net in Section 8.2.4 or I could use Schroeder, Table 6.4 at the bottom for the relation between K1 and K2. Then setK2 = 0. </text>
  </threadedComment>
  <threadedComment ref="F5" dT="2026-01-16T22:17:04.08" personId="{8C851638-141B-034A-B4A3-8E6355A961FE}" id="{CF0EF70F-F87A-7C4E-8A0D-AAFBDACFA8BF}">
    <text xml:space="preserve">As measured on the scale drawing, converted by the scale. </text>
  </threadedComment>
  <threadedComment ref="A7" dT="2025-12-05T19:04:58.22" personId="{8C851638-141B-034A-B4A3-8E6355A961FE}" id="{F0B50C6E-B471-C840-AFAF-86D29A3A3206}">
    <text>Spherical aberration wavefront error peak to valley error for a Dall-Kirkham telescope with K2 = zero.</text>
  </threadedComment>
  <threadedComment ref="F7" dT="2025-12-05T18:56:25.76" personId="{8C851638-141B-034A-B4A3-8E6355A961FE}" id="{CCA9F9D2-3867-8D4C-B412-C3214225D83E}">
    <text>relative secondary magnification from system and primary F numbers</text>
  </threadedComment>
  <threadedComment ref="G7" dT="2025-12-05T18:56:25.76" personId="{8C851638-141B-034A-B4A3-8E6355A961FE}" id="{B3EE743C-9DC9-9C46-A724-E50D33845875}">
    <text>relative secondary magnification from system i-prime and i image distances</text>
  </threadedComment>
  <threadedComment ref="L7" dT="2025-12-05T22:28:03.70" personId="{8C851638-141B-034A-B4A3-8E6355A961FE}" id="{1D03FF7D-1DF4-0243-8510-3D2521588EE3}">
    <text>Estimated value of K1 using m and eta.</text>
  </threadedComment>
  <threadedComment ref="N7" dT="2025-12-30T17:00:44.79" personId="{8C851638-141B-034A-B4A3-8E6355A961FE}" id="{8B232EF6-38AE-8940-9673-E83B3C93B41C}">
    <text xml:space="preserve">Estimated value of K2 using m for no spherical aberration </text>
  </threadedComment>
  <threadedComment ref="R7" dT="2025-12-05T19:04:58.22" personId="{8C851638-141B-034A-B4A3-8E6355A961FE}" id="{14660CF1-6C30-3C48-AECC-3895F8B1520C}">
    <text xml:space="preserve">Wavefront Peak-to-valley error at diffraction focus for astigmatism (telescope-optics.net Eqn.  84.2 Sec. 8.2.2) using as built K1 and K2 from blueprints. Angles are in multiples of 1/3 of the way along the radius of an Andor Marana 2048 sCMOS 11-micron pixel camera. </text>
  </threadedComment>
  <threadedComment ref="S7" dT="2025-12-05T19:04:58.22" personId="{8C851638-141B-034A-B4A3-8E6355A961FE}" id="{EA2FF422-D5E7-A544-BFFA-D745CCAE8021}">
    <text/>
  </threadedComment>
  <threadedComment ref="T7" dT="2025-12-05T19:04:58.22" personId="{8C851638-141B-034A-B4A3-8E6355A961FE}" id="{0D1CF9BB-F572-C64C-A7BB-3246AECD9042}">
    <text/>
  </threadedComment>
  <threadedComment ref="U7" dT="2025-12-30T00:18:39.75" personId="{8C851638-141B-034A-B4A3-8E6355A961FE}" id="{85E3B126-43D6-094E-B8BE-A27C4989E2BE}">
    <text xml:space="preserve">Wavefront Peak-to-valley Seidel coma error at diffraction focus (Eqn. 84.2, telescopeoptics.net) </text>
  </threadedComment>
  <threadedComment ref="V7" dT="2025-12-30T00:18:39.75" personId="{8C851638-141B-034A-B4A3-8E6355A961FE}" id="{9D1DBCD1-66F9-FC43-A270-B8AA33D3D9BA}">
    <text xml:space="preserve">Wavefront Peak-to-valley Seidel coma error at diffraction focus (Eqn. 84.2, telescopeoptics.net) </text>
  </threadedComment>
  <threadedComment ref="W7" dT="2025-12-30T00:18:39.75" personId="{8C851638-141B-034A-B4A3-8E6355A961FE}" id="{599CDE9C-DE6D-D24E-B887-9F3C4EE18425}">
    <text xml:space="preserve">Wavefront Peak-to-valley Seidel coma error at diffraction focus (Eqn. 84.2, telescopeoptics.net) </text>
  </threadedComment>
  <threadedComment ref="I12" dT="2026-01-14T21:37:54.72" personId="{8C851638-141B-034A-B4A3-8E6355A961FE}" id="{7431E541-2B88-C945-A634-8CBA58C41BA2}">
    <text xml:space="preserve">Does not allow for stop at secondary. </text>
  </threadedComment>
  <threadedComment ref="J12" dT="2026-01-14T21:38:11.64" personId="{8C851638-141B-034A-B4A3-8E6355A961FE}" id="{814CFA3D-FA54-9444-9151-BCA2F1EDADCD}">
    <text>Does not allow for stop at secondary.</text>
  </threadedComment>
  <threadedComment ref="O12" dT="2026-01-14T22:20:34.13" personId="{8C851638-141B-034A-B4A3-8E6355A961FE}" id="{657B9C48-B428-3C40-8068-34DECA5F33A6}">
    <text xml:space="preserve">See telescope-optics.net Sections 4.3 and 4.2 in which Delta is defined in equation 21. </text>
  </threadedComment>
  <threadedComment ref="P12" dT="2026-01-15T00:09:35.28" personId="{8C851638-141B-034A-B4A3-8E6355A961FE}" id="{D9869BD4-6229-984D-AA75-E2711985E400}">
    <text xml:space="preserve">Assumes a 2048 square detector, 15 micron pixels with max image height of 15.36 mm rounded to 15mm and max normalized pupil radius = 1, telescope-optics.net Eqn. 31. I think the sign is correct as it should curve away from the focal plane and point away from the secondary. Without the secondary the curvature "curves" away from the primary. </text>
  </threadedComment>
  <threadedComment ref="F14" dT="2025-12-05T18:56:25.76" personId="{8C851638-141B-034A-B4A3-8E6355A961FE}" id="{7B1F4DCB-9E16-DF4A-AABB-8CB4BFB2BBBF}">
    <text>relative secondary magnification from system and primary F numbers</text>
  </threadedComment>
  <threadedComment ref="G14" dT="2025-12-05T18:56:25.76" personId="{8C851638-141B-034A-B4A3-8E6355A961FE}" id="{E9CD66AE-FB9F-574A-B74C-C41D982DEA62}">
    <text>relative secondary magnification from system i-prime and i image distances</text>
  </threadedComment>
  <threadedComment ref="V14" dT="2026-01-20T16:35:59.80" personId="{8C851638-141B-034A-B4A3-8E6355A961FE}" id="{671D3686-500B-8C4F-ABC4-908D8B045A47}">
    <text xml:space="preserve">This is, in terms of system focal length, 0.38 f.l. and larger to the "best astigmatic" median Rm of 0.3 of system f.l. for a classical Cassegrain and R-C which would be a bit less than 0.3 for 1.89 secondary magnification. D-K is slightly more curved.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2-09T21:43:15.80" personId="{8C851638-141B-034A-B4A3-8E6355A961FE}" id="{303AE714-7CBE-334B-A645-98D535E2AC2B}">
    <text xml:space="preserve">Using us.shop.schott.com/ and Doi et al. 2010 AJ, 139, 1628 to match glass to filters for SDSS.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3" dT="2026-01-22T00:16:24.58" personId="{8C851638-141B-034A-B4A3-8E6355A961FE}" id="{164D0010-E569-924F-BA13-1C3EDB91DED7}">
    <text>1215 mm is the focal plane location via a paraxial y-nu ray trace. Using the 1:5.3 scale drawing the focus via the back focal length to presumed secondary mirror surface is 1220  mm.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685D-8724-5246-AEF2-3915C8A371E5}">
  <dimension ref="A1:Y15"/>
  <sheetViews>
    <sheetView zoomScale="140" zoomScaleNormal="140" workbookViewId="0">
      <selection activeCell="T14" sqref="T14"/>
    </sheetView>
  </sheetViews>
  <sheetFormatPr baseColWidth="10" defaultRowHeight="16" x14ac:dyDescent="0.2"/>
  <cols>
    <col min="1" max="1" width="20" customWidth="1"/>
    <col min="12" max="12" width="12.83203125" bestFit="1" customWidth="1"/>
    <col min="13" max="14" width="11.83203125" bestFit="1" customWidth="1"/>
    <col min="15" max="15" width="11.33203125" customWidth="1"/>
    <col min="16" max="16" width="13.5" bestFit="1" customWidth="1"/>
    <col min="24" max="24" width="13.33203125" bestFit="1" customWidth="1"/>
  </cols>
  <sheetData>
    <row r="1" spans="1:25" s="2" customFormat="1" ht="18" x14ac:dyDescent="0.25">
      <c r="A1" s="2" t="s">
        <v>28</v>
      </c>
      <c r="B1" s="2" t="s">
        <v>0</v>
      </c>
      <c r="C1" s="2" t="s">
        <v>54</v>
      </c>
      <c r="D1" s="2" t="s">
        <v>1</v>
      </c>
      <c r="E1" s="3" t="s">
        <v>2</v>
      </c>
      <c r="F1" s="2" t="s">
        <v>63</v>
      </c>
      <c r="G1" s="2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17</v>
      </c>
      <c r="M1" s="2" t="s">
        <v>8</v>
      </c>
      <c r="N1" s="2" t="s">
        <v>9</v>
      </c>
      <c r="O1" s="2" t="s">
        <v>17</v>
      </c>
      <c r="P1" s="2" t="s">
        <v>10</v>
      </c>
      <c r="Q1" s="2" t="s">
        <v>11</v>
      </c>
      <c r="R1" s="2" t="s">
        <v>17</v>
      </c>
      <c r="S1" s="2" t="s">
        <v>12</v>
      </c>
      <c r="T1" s="2" t="s">
        <v>13</v>
      </c>
      <c r="U1" s="2" t="s">
        <v>17</v>
      </c>
      <c r="V1" s="2" t="s">
        <v>14</v>
      </c>
      <c r="W1" s="2" t="s">
        <v>15</v>
      </c>
      <c r="X1" s="2" t="s">
        <v>17</v>
      </c>
      <c r="Y1" s="2" t="s">
        <v>16</v>
      </c>
    </row>
    <row r="2" spans="1:25" s="1" customFormat="1" x14ac:dyDescent="0.2">
      <c r="A2" s="1" t="s">
        <v>29</v>
      </c>
      <c r="B2" s="5">
        <v>1549</v>
      </c>
      <c r="C2" s="11">
        <v>9.8000000000000007</v>
      </c>
      <c r="D2" s="5">
        <v>-30557.78</v>
      </c>
      <c r="E2" s="1">
        <v>-1</v>
      </c>
      <c r="F2" s="1">
        <v>-6502.4849999999997</v>
      </c>
      <c r="G2" s="1">
        <v>0</v>
      </c>
      <c r="I2" s="1">
        <v>6502.4849999999997</v>
      </c>
      <c r="K2" s="1">
        <v>2768.92</v>
      </c>
      <c r="N2" s="1">
        <v>0</v>
      </c>
      <c r="Q2" s="1">
        <v>0</v>
      </c>
      <c r="T2" s="1">
        <v>0</v>
      </c>
      <c r="W2" s="1">
        <v>0</v>
      </c>
    </row>
    <row r="3" spans="1:25" s="1" customFormat="1" x14ac:dyDescent="0.2">
      <c r="A3" s="1" t="s">
        <v>30</v>
      </c>
      <c r="B3" s="5">
        <v>1000</v>
      </c>
      <c r="C3" s="11">
        <v>7.3</v>
      </c>
      <c r="D3" s="5">
        <v>-14600</v>
      </c>
    </row>
    <row r="4" spans="1:25" s="1" customFormat="1" x14ac:dyDescent="0.2">
      <c r="A4" s="1" t="s">
        <v>31</v>
      </c>
      <c r="B4" s="5">
        <v>1287.78</v>
      </c>
      <c r="C4" s="11">
        <v>4</v>
      </c>
      <c r="D4" s="5">
        <v>-6061.4560000000001</v>
      </c>
      <c r="E4" s="1">
        <v>-1.637</v>
      </c>
      <c r="F4" s="1">
        <v>-1735.13</v>
      </c>
      <c r="G4" s="1">
        <v>-6060.69</v>
      </c>
      <c r="H4" s="1">
        <v>-35.781999999999996</v>
      </c>
      <c r="I4" s="1">
        <v>1802.85</v>
      </c>
      <c r="K4" s="1">
        <v>306.32</v>
      </c>
      <c r="L4" s="1" t="s">
        <v>32</v>
      </c>
      <c r="N4" s="1">
        <v>25.98</v>
      </c>
      <c r="O4" s="1" t="s">
        <v>32</v>
      </c>
      <c r="Q4" s="1">
        <v>29.997</v>
      </c>
      <c r="R4" s="1" t="s">
        <v>32</v>
      </c>
      <c r="T4" s="1">
        <v>0</v>
      </c>
      <c r="W4" s="1">
        <v>0</v>
      </c>
    </row>
    <row r="5" spans="1:25" s="1" customFormat="1" x14ac:dyDescent="0.2">
      <c r="A5" s="1" t="s">
        <v>56</v>
      </c>
      <c r="B5" s="5">
        <v>400</v>
      </c>
      <c r="C5" s="11">
        <v>7</v>
      </c>
      <c r="D5" s="5">
        <v>-3048</v>
      </c>
      <c r="E5" s="14">
        <f>-1 + ((H15^2 - 1)*(1+I15))/(H15^3)</f>
        <v>-0.53512969590165671</v>
      </c>
      <c r="F5" s="1">
        <v>-885</v>
      </c>
      <c r="G5" s="1">
        <f>C15*2</f>
        <v>-2865.12</v>
      </c>
      <c r="H5" s="1">
        <v>0</v>
      </c>
    </row>
    <row r="7" spans="1:25" s="10" customFormat="1" ht="68" customHeight="1" x14ac:dyDescent="0.25">
      <c r="A7" s="9" t="s">
        <v>50</v>
      </c>
      <c r="B7" s="10" t="s">
        <v>52</v>
      </c>
      <c r="C7" s="10" t="s">
        <v>53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9" t="s">
        <v>23</v>
      </c>
      <c r="J7" s="10" t="s">
        <v>25</v>
      </c>
      <c r="K7" s="10" t="s">
        <v>24</v>
      </c>
      <c r="L7" s="10" t="s">
        <v>36</v>
      </c>
      <c r="M7" s="10" t="s">
        <v>33</v>
      </c>
      <c r="N7" s="10" t="s">
        <v>37</v>
      </c>
      <c r="O7" s="10" t="s">
        <v>26</v>
      </c>
      <c r="P7" s="10" t="s">
        <v>27</v>
      </c>
      <c r="Q7" s="10" t="s">
        <v>38</v>
      </c>
      <c r="R7" s="9" t="s">
        <v>39</v>
      </c>
      <c r="S7" s="9" t="s">
        <v>42</v>
      </c>
      <c r="T7" s="9" t="s">
        <v>43</v>
      </c>
      <c r="U7" s="10" t="s">
        <v>34</v>
      </c>
      <c r="V7" s="10" t="s">
        <v>35</v>
      </c>
      <c r="W7" s="10" t="s">
        <v>41</v>
      </c>
    </row>
    <row r="8" spans="1:25" x14ac:dyDescent="0.2">
      <c r="A8" s="1" t="s">
        <v>30</v>
      </c>
      <c r="M8" s="5">
        <v>-1</v>
      </c>
    </row>
    <row r="9" spans="1:25" ht="18" customHeight="1" x14ac:dyDescent="0.2">
      <c r="A9" s="1" t="s">
        <v>40</v>
      </c>
      <c r="B9">
        <f>D4/2</f>
        <v>-3030.7280000000001</v>
      </c>
      <c r="C9">
        <f>G4/2</f>
        <v>-3030.3449999999998</v>
      </c>
      <c r="D9">
        <f>B9/B4</f>
        <v>-2.3534516765285995</v>
      </c>
      <c r="E9" s="6">
        <f>B4/(2048*(D9^3))</f>
        <v>-4.8238730237507924E-2</v>
      </c>
      <c r="F9" s="7">
        <f>ABS(C4/D9)</f>
        <v>1.6996312437143815</v>
      </c>
      <c r="G9" s="7">
        <f>ABS((I4+K4+N4+Q4+T4+W4)/(B9-F4))</f>
        <v>1.6711564852678069</v>
      </c>
      <c r="H9" s="8">
        <f>AVERAGE(F9,G9)</f>
        <v>1.6853938644910942</v>
      </c>
      <c r="I9" s="8">
        <f>-1*(I4+K4+N4+Q4+T4+W4+F4)/B9</f>
        <v>0.1418857119477564</v>
      </c>
      <c r="J9" s="8">
        <f>ABS(G4/D4)</f>
        <v>0.99987362772244814</v>
      </c>
      <c r="K9" s="8">
        <f>J9*(H9-1)/H9</f>
        <v>0.40661548860826513</v>
      </c>
      <c r="L9" s="8">
        <f>-1-2*(1+I9)/(H9^2*(H9-I9))</f>
        <v>-1.5208838467183601</v>
      </c>
      <c r="M9" s="5">
        <v>-1</v>
      </c>
      <c r="N9">
        <f>-1*(((H9+1)/(H9-1))^2)-2*H9*(H9+1)/((H9-I9)*(H9-1)^3)</f>
        <v>-33.565149404527993</v>
      </c>
      <c r="O9" s="1">
        <v>3.504</v>
      </c>
      <c r="P9" s="1">
        <v>7.008</v>
      </c>
      <c r="Q9" s="1">
        <v>10.51</v>
      </c>
      <c r="R9" s="8">
        <f>(-1*($H$9^2+$I$9)*((O9*0.0175/60)*$B$4)^2)/(8*(1+$I$9)*$H$9*$B$4*$C$4)*1000000</f>
        <v>-65.138971000744334</v>
      </c>
      <c r="S9" s="8">
        <f>(-1*($H$9^2+$I$9)*((P9*0.0175/60)*$B$4)^2)/(8*(1+$I$9)*$H$9*$B$4*$C$4)*1000000</f>
        <v>-260.55588400297734</v>
      </c>
      <c r="T9" s="8">
        <f>(-1*($H$9^2+$I$9)*((Q9*0.0175/60)*$B$4)^2)/(8*(1+$I$9)*$H$9*$B$4*$C$4)*1000000</f>
        <v>-586.02768156022273</v>
      </c>
      <c r="U9" s="8">
        <f>(O9*0.0175/60)*$B$4/(48*$C$4^2)*1000000</f>
        <v>1713.6864062500003</v>
      </c>
      <c r="V9" s="8">
        <f>(P9*0.0175/60)*$B$4/(48*$C$4^2)*1000000</f>
        <v>3427.3728125000007</v>
      </c>
      <c r="W9" s="8">
        <f>(Q9*0.0175/60)*$B$4/(48*$C$4^2)*1000000</f>
        <v>5140.0810872395841</v>
      </c>
      <c r="X9" s="12"/>
    </row>
    <row r="10" spans="1:25" ht="32" customHeight="1" x14ac:dyDescent="0.25">
      <c r="A10" s="1"/>
      <c r="R10" s="10" t="s">
        <v>44</v>
      </c>
      <c r="S10" s="10" t="s">
        <v>45</v>
      </c>
      <c r="T10" s="10" t="s">
        <v>46</v>
      </c>
      <c r="U10" s="10" t="s">
        <v>47</v>
      </c>
      <c r="V10" s="10" t="s">
        <v>49</v>
      </c>
      <c r="W10" s="10" t="s">
        <v>48</v>
      </c>
    </row>
    <row r="11" spans="1:25" x14ac:dyDescent="0.2">
      <c r="A11" s="1" t="s">
        <v>40</v>
      </c>
      <c r="R11" s="5">
        <f>R9/SQRT(24)</f>
        <v>-13.296436776814513</v>
      </c>
      <c r="S11" s="5">
        <f>S9/SQRT(24)</f>
        <v>-53.185747107258052</v>
      </c>
      <c r="T11" s="5">
        <f>T9/SQRT(24)</f>
        <v>-119.62239958073103</v>
      </c>
      <c r="U11" s="5">
        <f>U9/32</f>
        <v>53.552700195312511</v>
      </c>
      <c r="V11" s="5">
        <f>V9/32</f>
        <v>107.10540039062502</v>
      </c>
      <c r="W11" s="5">
        <f>W9/32</f>
        <v>160.627533976237</v>
      </c>
    </row>
    <row r="12" spans="1:25" ht="52" customHeight="1" x14ac:dyDescent="0.25">
      <c r="A12" s="9" t="s">
        <v>51</v>
      </c>
      <c r="B12" s="10" t="s">
        <v>52</v>
      </c>
      <c r="C12" s="10" t="s">
        <v>26</v>
      </c>
      <c r="D12" s="10" t="s">
        <v>27</v>
      </c>
      <c r="E12" s="10" t="s">
        <v>34</v>
      </c>
      <c r="F12" s="10" t="s">
        <v>35</v>
      </c>
      <c r="G12" s="10" t="s">
        <v>47</v>
      </c>
      <c r="H12" s="10" t="s">
        <v>49</v>
      </c>
      <c r="I12" s="9" t="s">
        <v>39</v>
      </c>
      <c r="J12" s="9" t="s">
        <v>42</v>
      </c>
      <c r="K12" s="10" t="s">
        <v>44</v>
      </c>
      <c r="L12" s="10" t="s">
        <v>45</v>
      </c>
      <c r="M12" s="10" t="s">
        <v>58</v>
      </c>
      <c r="N12" s="10" t="s">
        <v>59</v>
      </c>
      <c r="O12" s="10" t="s">
        <v>57</v>
      </c>
      <c r="P12" s="9" t="s">
        <v>60</v>
      </c>
      <c r="R12" s="5"/>
      <c r="S12" s="5"/>
      <c r="T12" s="5"/>
      <c r="U12" s="5"/>
      <c r="V12" s="5"/>
      <c r="W12" s="5"/>
    </row>
    <row r="13" spans="1:25" s="1" customFormat="1" x14ac:dyDescent="0.2">
      <c r="A13" s="1" t="s">
        <v>29</v>
      </c>
      <c r="B13" s="1">
        <f>D2/2</f>
        <v>-15278.89</v>
      </c>
      <c r="C13" s="1">
        <v>7.25</v>
      </c>
      <c r="D13" s="1">
        <v>14.5</v>
      </c>
      <c r="E13" s="8">
        <f>(C13*0.0174538/60)*$B$2/(48*($C$2^2))*1000000</f>
        <v>708.65487705498845</v>
      </c>
      <c r="F13" s="8">
        <f>(D13*0.0174538/60)*$B$2/(48*($C$2^2))*1000000</f>
        <v>1417.3097541099769</v>
      </c>
      <c r="G13" s="5">
        <f>E13/SQRT(32)</f>
        <v>125.27366727162536</v>
      </c>
      <c r="H13" s="5">
        <f>F13/SQRT(32)</f>
        <v>250.54733454325071</v>
      </c>
      <c r="I13" s="1">
        <f>($D$2*(C13*0.0174538/60)^2)/(8*$C$2)*1000000</f>
        <v>-1733.6412815662998</v>
      </c>
      <c r="J13" s="1">
        <f>($D$2*(D13*0.0174538/60)^2)/(8*$C$2)*1000000</f>
        <v>-6934.5651262651991</v>
      </c>
      <c r="K13" s="1">
        <f>I13/SQRT(24)</f>
        <v>-353.87804473851128</v>
      </c>
      <c r="L13" s="1">
        <f>J13/SQRT(24)</f>
        <v>-1415.5121789540451</v>
      </c>
      <c r="M13" s="1">
        <f>K13*$O$13</f>
        <v>1.6414007953431176E-5</v>
      </c>
      <c r="N13" s="1">
        <f>L13*$O$13</f>
        <v>6.5656031813724706E-5</v>
      </c>
      <c r="O13" s="1">
        <f>(((6600*0.04995128)^2*(E2*(6600/ABS(D2))^2+(1-6600/ABS(D2))^2))/(0.21598*D2)^2)/D2</f>
        <v>-4.6383233425967043E-8</v>
      </c>
      <c r="P13" s="7">
        <f>(15)^2/(16*ABS(B13)*C2^2)*1000000</f>
        <v>9.5833771474546321</v>
      </c>
    </row>
    <row r="14" spans="1:25" ht="69" customHeight="1" x14ac:dyDescent="0.25">
      <c r="A14" s="2" t="s">
        <v>55</v>
      </c>
      <c r="B14" s="10" t="s">
        <v>52</v>
      </c>
      <c r="C14" s="10" t="s">
        <v>53</v>
      </c>
      <c r="D14" s="10" t="s">
        <v>18</v>
      </c>
      <c r="E14" s="10" t="s">
        <v>62</v>
      </c>
      <c r="F14" s="10" t="s">
        <v>20</v>
      </c>
      <c r="G14" s="10" t="s">
        <v>21</v>
      </c>
      <c r="H14" s="10" t="s">
        <v>22</v>
      </c>
      <c r="I14" s="9" t="s">
        <v>23</v>
      </c>
      <c r="J14" s="10" t="s">
        <v>25</v>
      </c>
      <c r="K14" s="10" t="s">
        <v>24</v>
      </c>
      <c r="L14" s="9" t="s">
        <v>64</v>
      </c>
      <c r="M14" s="10" t="s">
        <v>26</v>
      </c>
      <c r="N14" s="10" t="s">
        <v>27</v>
      </c>
      <c r="O14" s="10" t="s">
        <v>38</v>
      </c>
      <c r="P14" s="10" t="s">
        <v>107</v>
      </c>
      <c r="Q14" s="10" t="s">
        <v>108</v>
      </c>
      <c r="R14" s="10" t="s">
        <v>109</v>
      </c>
      <c r="S14" s="10" t="s">
        <v>47</v>
      </c>
      <c r="T14" s="10" t="s">
        <v>49</v>
      </c>
      <c r="U14" s="10" t="s">
        <v>110</v>
      </c>
      <c r="V14" s="9" t="s">
        <v>65</v>
      </c>
    </row>
    <row r="15" spans="1:25" s="1" customFormat="1" x14ac:dyDescent="0.2">
      <c r="A15" s="1" t="s">
        <v>61</v>
      </c>
      <c r="B15" s="1">
        <f>D5/2</f>
        <v>-1524</v>
      </c>
      <c r="C15" s="13">
        <f>B15*J15</f>
        <v>-1432.56</v>
      </c>
      <c r="D15" s="1">
        <f>ABS(B15)/B5</f>
        <v>3.81</v>
      </c>
      <c r="E15" s="1">
        <v>196</v>
      </c>
      <c r="F15" s="5">
        <f>C5/D15</f>
        <v>1.837270341207349</v>
      </c>
      <c r="G15" s="1">
        <v>1.94</v>
      </c>
      <c r="H15" s="5">
        <f>AVERAGE(F15,G15)</f>
        <v>1.8886351706036746</v>
      </c>
      <c r="I15" s="1">
        <v>0.22</v>
      </c>
      <c r="J15" s="1">
        <v>0.94</v>
      </c>
      <c r="K15" s="1">
        <v>0.44</v>
      </c>
      <c r="L15" s="1">
        <f>(1+(1/H15^2)-((H15^2-1)*I15/H15^3))/(8*B15^2)</f>
        <v>6.4396334873725149E-8</v>
      </c>
      <c r="M15" s="1">
        <v>6.5</v>
      </c>
      <c r="N15" s="1">
        <v>13</v>
      </c>
      <c r="O15" s="1">
        <v>19</v>
      </c>
      <c r="P15" s="5">
        <f>$L$15*(M15*3.14159/(60*180))*($B$5^3)/12*1000000</f>
        <v>649.38011402155564</v>
      </c>
      <c r="Q15" s="5">
        <f>$L$15*(N15*3.14159/(60*180))*($B$5^3)/12*1000000</f>
        <v>1298.7602280431113</v>
      </c>
      <c r="R15" s="5">
        <f>$L$15*(O15*3.14159/(60*180))*($B$5^3)/12*1000000</f>
        <v>1898.1880256014701</v>
      </c>
      <c r="S15" s="5">
        <f>P15/32</f>
        <v>20.293128563173614</v>
      </c>
      <c r="T15" s="5">
        <f>Q15/32</f>
        <v>40.586257126347228</v>
      </c>
      <c r="U15" s="5">
        <f>R15/32</f>
        <v>59.318375800045942</v>
      </c>
      <c r="V15" s="1">
        <f>-1*((1+I15)*D5*H15^2)/(2*((H15^2-2)*(H15-I15)+(H15+1)*H15-1*(H15^2-1)*(H15-I15)^2/(2*H15)))</f>
        <v>1073.4672092007195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1ECC-334B-4D45-903B-E58ADFB43918}">
  <dimension ref="A1:E6"/>
  <sheetViews>
    <sheetView tabSelected="1" zoomScale="130" zoomScaleNormal="130" workbookViewId="0">
      <selection activeCell="B12" sqref="B12"/>
    </sheetView>
  </sheetViews>
  <sheetFormatPr baseColWidth="10" defaultRowHeight="16" x14ac:dyDescent="0.2"/>
  <cols>
    <col min="3" max="3" width="10.83203125" style="7"/>
    <col min="4" max="4" width="14.5" style="1" customWidth="1"/>
    <col min="5" max="5" width="14.5" customWidth="1"/>
  </cols>
  <sheetData>
    <row r="1" spans="1:5" s="2" customFormat="1" ht="69" x14ac:dyDescent="0.25">
      <c r="A1" s="2" t="s">
        <v>111</v>
      </c>
      <c r="B1" s="2" t="s">
        <v>112</v>
      </c>
      <c r="C1" s="22" t="s">
        <v>123</v>
      </c>
      <c r="D1" s="9" t="s">
        <v>125</v>
      </c>
      <c r="E1" s="9" t="s">
        <v>126</v>
      </c>
    </row>
    <row r="2" spans="1:5" x14ac:dyDescent="0.2">
      <c r="A2" t="s">
        <v>113</v>
      </c>
      <c r="B2" t="s">
        <v>118</v>
      </c>
      <c r="C2" s="7" t="s">
        <v>124</v>
      </c>
      <c r="D2" s="23" t="s">
        <v>86</v>
      </c>
      <c r="E2" s="23" t="s">
        <v>86</v>
      </c>
    </row>
    <row r="3" spans="1:5" x14ac:dyDescent="0.2">
      <c r="A3" t="s">
        <v>114</v>
      </c>
      <c r="B3" t="s">
        <v>119</v>
      </c>
      <c r="C3" s="7">
        <v>1.52</v>
      </c>
      <c r="D3" s="7">
        <f>5*((C3-$C$4)/(C3*$C$4))</f>
        <v>1.7404622667780579E-2</v>
      </c>
      <c r="E3" s="7">
        <f>7.5*((C3-$C$4)/(C3*$C$4))</f>
        <v>2.610693400167087E-2</v>
      </c>
    </row>
    <row r="4" spans="1:5" x14ac:dyDescent="0.2">
      <c r="A4" t="s">
        <v>115</v>
      </c>
      <c r="B4" t="s">
        <v>120</v>
      </c>
      <c r="C4" s="7">
        <v>1.512</v>
      </c>
      <c r="D4" s="7">
        <v>0</v>
      </c>
      <c r="E4" s="7">
        <v>0</v>
      </c>
    </row>
    <row r="5" spans="1:5" x14ac:dyDescent="0.2">
      <c r="A5" t="s">
        <v>116</v>
      </c>
      <c r="B5" t="s">
        <v>121</v>
      </c>
      <c r="C5" s="7">
        <v>1.5329999999999999</v>
      </c>
      <c r="D5" s="7">
        <f>5*((C5-$C$4)/(C5*$C$4))</f>
        <v>4.5299702833949212E-2</v>
      </c>
      <c r="E5" s="7">
        <f>7.5*((C5-$C$4)/(C5*$C$4))</f>
        <v>6.7949554250923819E-2</v>
      </c>
    </row>
    <row r="6" spans="1:5" x14ac:dyDescent="0.2">
      <c r="A6" t="s">
        <v>117</v>
      </c>
      <c r="B6" t="s">
        <v>122</v>
      </c>
      <c r="C6" s="7">
        <v>1.56</v>
      </c>
      <c r="D6" s="7">
        <f>5*((C6-$C$4)/(C6*$C$4))</f>
        <v>0.10175010175010185</v>
      </c>
      <c r="E6" s="7">
        <f>7.5*((C6-$C$4)/(C6*$C$4))</f>
        <v>0.15262515262515278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5ED7-AD07-A046-96A1-F16751D23497}">
  <dimension ref="A1:N28"/>
  <sheetViews>
    <sheetView zoomScale="140" zoomScaleNormal="140" workbookViewId="0">
      <selection activeCell="D13" sqref="D13"/>
    </sheetView>
  </sheetViews>
  <sheetFormatPr baseColWidth="10" defaultRowHeight="16" x14ac:dyDescent="0.2"/>
  <cols>
    <col min="1" max="1" width="11" bestFit="1" customWidth="1"/>
    <col min="2" max="2" width="15" customWidth="1"/>
    <col min="3" max="3" width="12.83203125" customWidth="1"/>
    <col min="4" max="4" width="14" customWidth="1"/>
    <col min="5" max="5" width="11" bestFit="1" customWidth="1"/>
    <col min="6" max="6" width="12.33203125" bestFit="1" customWidth="1"/>
    <col min="7" max="7" width="11" bestFit="1" customWidth="1"/>
    <col min="8" max="9" width="12.33203125" bestFit="1" customWidth="1"/>
    <col min="10" max="11" width="11" bestFit="1" customWidth="1"/>
    <col min="13" max="13" width="11.83203125" bestFit="1" customWidth="1"/>
    <col min="14" max="14" width="14.1640625" customWidth="1"/>
  </cols>
  <sheetData>
    <row r="1" spans="1:14" s="2" customFormat="1" x14ac:dyDescent="0.2">
      <c r="A1" s="2" t="s">
        <v>66</v>
      </c>
      <c r="B1" s="2" t="s">
        <v>106</v>
      </c>
    </row>
    <row r="2" spans="1:14" s="2" customFormat="1" ht="18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67</v>
      </c>
      <c r="F2" s="2" t="s">
        <v>68</v>
      </c>
      <c r="G2" s="2" t="s">
        <v>69</v>
      </c>
      <c r="H2" s="2" t="s">
        <v>99</v>
      </c>
      <c r="I2" s="2" t="s">
        <v>100</v>
      </c>
      <c r="J2" s="2" t="s">
        <v>101</v>
      </c>
      <c r="K2" s="2" t="s">
        <v>102</v>
      </c>
      <c r="L2" s="2" t="s">
        <v>80</v>
      </c>
      <c r="M2" s="2" t="s">
        <v>103</v>
      </c>
      <c r="N2" s="2" t="s">
        <v>104</v>
      </c>
    </row>
    <row r="3" spans="1:14" s="15" customFormat="1" ht="47" customHeight="1" x14ac:dyDescent="0.2">
      <c r="A3" s="15">
        <v>0</v>
      </c>
      <c r="B3" s="15">
        <v>200</v>
      </c>
      <c r="C3" s="15">
        <v>0</v>
      </c>
      <c r="D3" s="11">
        <v>1500</v>
      </c>
      <c r="E3" s="15">
        <v>0</v>
      </c>
      <c r="F3" s="15">
        <v>0</v>
      </c>
      <c r="G3" s="15">
        <v>1</v>
      </c>
      <c r="H3" s="11">
        <f>-3048</f>
        <v>-3048</v>
      </c>
      <c r="I3" s="11">
        <v>-2865</v>
      </c>
      <c r="J3" s="15">
        <f>1/-3048</f>
        <v>-3.2808398950131233E-4</v>
      </c>
      <c r="K3" s="15">
        <f>1/-2865</f>
        <v>-3.4904013961605586E-4</v>
      </c>
      <c r="L3" s="19" t="s">
        <v>81</v>
      </c>
      <c r="M3" s="5">
        <v>-885</v>
      </c>
      <c r="N3" s="5">
        <v>1215</v>
      </c>
    </row>
    <row r="4" spans="1:14" s="15" customFormat="1" ht="45" customHeight="1" x14ac:dyDescent="0.2">
      <c r="A4" s="15">
        <v>0</v>
      </c>
      <c r="B4" s="15">
        <v>90</v>
      </c>
      <c r="C4" s="15">
        <v>0</v>
      </c>
      <c r="D4" s="11">
        <v>1500</v>
      </c>
      <c r="E4" s="15">
        <v>0</v>
      </c>
      <c r="F4" s="15">
        <v>0</v>
      </c>
      <c r="G4" s="15">
        <v>1</v>
      </c>
      <c r="H4" s="11">
        <f>-3048</f>
        <v>-3048</v>
      </c>
      <c r="I4" s="11">
        <v>-2865</v>
      </c>
      <c r="J4" s="15">
        <f>1/-3048</f>
        <v>-3.2808398950131233E-4</v>
      </c>
      <c r="K4" s="15">
        <f>1/-2865</f>
        <v>-3.4904013961605586E-4</v>
      </c>
      <c r="L4" s="19" t="s">
        <v>105</v>
      </c>
      <c r="M4" s="5">
        <v>-885</v>
      </c>
      <c r="N4" s="5">
        <v>1215</v>
      </c>
    </row>
    <row r="5" spans="1:14" s="15" customFormat="1" ht="18" customHeight="1" x14ac:dyDescent="0.2"/>
    <row r="6" spans="1:14" s="15" customFormat="1" ht="18" customHeight="1" x14ac:dyDescent="0.2"/>
    <row r="7" spans="1:14" s="15" customFormat="1" x14ac:dyDescent="0.2"/>
    <row r="8" spans="1:14" s="15" customFormat="1" x14ac:dyDescent="0.2"/>
    <row r="10" spans="1:14" ht="43" customHeight="1" x14ac:dyDescent="0.3">
      <c r="A10" s="16" t="s">
        <v>70</v>
      </c>
      <c r="B10" s="16" t="s">
        <v>83</v>
      </c>
      <c r="C10" s="16" t="s">
        <v>84</v>
      </c>
      <c r="D10" s="16" t="s">
        <v>85</v>
      </c>
      <c r="F10" s="16" t="s">
        <v>83</v>
      </c>
      <c r="G10" s="16" t="s">
        <v>84</v>
      </c>
      <c r="H10" s="16" t="s">
        <v>85</v>
      </c>
    </row>
    <row r="11" spans="1:14" ht="19" x14ac:dyDescent="0.3">
      <c r="A11" s="17" t="s">
        <v>94</v>
      </c>
      <c r="B11" s="15">
        <f>(D3-C3)/G3</f>
        <v>1500</v>
      </c>
      <c r="C11" s="15">
        <f>(M3 - B19)/B25</f>
        <v>-886.0612289846415</v>
      </c>
      <c r="D11" s="15">
        <f>(N3 - C19)/C25</f>
        <v>1219.4574232072262</v>
      </c>
      <c r="F11" s="15">
        <f>(D4-C4)/G4</f>
        <v>1500</v>
      </c>
      <c r="G11" s="1">
        <f>(M4-F19)/F25</f>
        <v>-885.21456607857363</v>
      </c>
      <c r="H11">
        <f>(N4-G19)/G25</f>
        <v>1215.8991890419227</v>
      </c>
    </row>
    <row r="12" spans="1:14" ht="19" x14ac:dyDescent="0.3">
      <c r="A12" s="17" t="s">
        <v>92</v>
      </c>
      <c r="B12" s="15">
        <f xml:space="preserve"> A3+B11*E3</f>
        <v>0</v>
      </c>
      <c r="C12" s="15">
        <f xml:space="preserve"> B17+C11*B23</f>
        <v>0</v>
      </c>
      <c r="D12" s="15">
        <f xml:space="preserve"> C17+D11*C23</f>
        <v>0</v>
      </c>
      <c r="F12" s="15">
        <f>A4+F11*E4</f>
        <v>0</v>
      </c>
      <c r="G12" s="15">
        <f>F17+G11*F23</f>
        <v>0</v>
      </c>
      <c r="H12" s="15">
        <f>G17+H11*G23</f>
        <v>0</v>
      </c>
    </row>
    <row r="13" spans="1:14" x14ac:dyDescent="0.2">
      <c r="A13" s="18" t="s">
        <v>93</v>
      </c>
      <c r="B13" s="15">
        <f>B3+B11*F3</f>
        <v>200</v>
      </c>
      <c r="C13" s="15">
        <f>B18+C11*B24</f>
        <v>83.969596508964727</v>
      </c>
      <c r="D13" s="15">
        <f>C18+D11*C24</f>
        <v>-4.9088625286877203</v>
      </c>
      <c r="F13" s="15">
        <f>B4+F11*F4</f>
        <v>90</v>
      </c>
      <c r="G13" s="15">
        <f>F18+G11*F24</f>
        <v>37.746343527691124</v>
      </c>
      <c r="H13" s="15">
        <f>G18+H11*G24</f>
        <v>-2.04937234108138</v>
      </c>
    </row>
    <row r="14" spans="1:14" ht="19" x14ac:dyDescent="0.3">
      <c r="A14" s="17" t="s">
        <v>71</v>
      </c>
      <c r="B14" s="15">
        <f>G3-(J3)*(B12*E3+B13*F3)</f>
        <v>1</v>
      </c>
      <c r="C14" s="15">
        <f>B25-1*K3*(C12*B23+C13*B24)</f>
        <v>0.99522687642442142</v>
      </c>
      <c r="D14" s="1"/>
      <c r="F14" s="15">
        <f>G4-J4*(F12*E4+F13*F4)</f>
        <v>1</v>
      </c>
      <c r="G14" s="15">
        <f>F25-1*K4*(G12*F23+G13*F24)</f>
        <v>0.99903395778882309</v>
      </c>
    </row>
    <row r="15" spans="1:14" ht="19" x14ac:dyDescent="0.3">
      <c r="A15" s="17" t="s">
        <v>72</v>
      </c>
      <c r="B15" s="15">
        <f>J3*(B12^2+B13^2)</f>
        <v>-13.123359580052494</v>
      </c>
      <c r="C15" s="15">
        <f>K3*(C12^2+C13^2)</f>
        <v>-2.4610447252629464</v>
      </c>
      <c r="D15" s="1"/>
      <c r="F15" s="15">
        <f>J4*(F12^2+F13^2)</f>
        <v>-2.6574803149606301</v>
      </c>
      <c r="G15" s="15">
        <f>K4*(G12^2+G13^2)</f>
        <v>-0.49730766133000692</v>
      </c>
    </row>
    <row r="16" spans="1:14" x14ac:dyDescent="0.2">
      <c r="A16" s="18" t="s">
        <v>78</v>
      </c>
      <c r="B16" s="15">
        <f>B15/(B14+SQRT(B14^2-1*(J3)*B15))</f>
        <v>-6.5687579693668177</v>
      </c>
      <c r="C16" s="15">
        <f>C15/(C14+SQRT(C14^2-1*(K3)*C15))</f>
        <v>-1.2366921594365914</v>
      </c>
      <c r="D16" s="1"/>
      <c r="F16" s="15">
        <f>F15/(F14+SQRT(F14^2-1*(J4)*F15))</f>
        <v>-1.3290299082180017</v>
      </c>
      <c r="G16" s="15">
        <f>G15/(G14+SQRT(G14^G172-1*(K4)*G15))</f>
        <v>-0.24878479547757346</v>
      </c>
    </row>
    <row r="17" spans="1:8" ht="19" x14ac:dyDescent="0.3">
      <c r="A17" s="17" t="s">
        <v>91</v>
      </c>
      <c r="B17" s="15">
        <f>B12+B16*E3</f>
        <v>0</v>
      </c>
      <c r="C17" s="15">
        <f>C12+C16*B23</f>
        <v>0</v>
      </c>
      <c r="D17" s="15">
        <f>D12</f>
        <v>0</v>
      </c>
      <c r="F17" s="15">
        <f>F12+F16*E4</f>
        <v>0</v>
      </c>
      <c r="G17" s="1">
        <f>G12+G16*F23</f>
        <v>0</v>
      </c>
      <c r="H17" s="1">
        <f>H12+H16*G23</f>
        <v>0</v>
      </c>
    </row>
    <row r="18" spans="1:8" ht="19" x14ac:dyDescent="0.3">
      <c r="A18" s="17" t="s">
        <v>90</v>
      </c>
      <c r="B18" s="15">
        <f>B13+B16*F3</f>
        <v>200</v>
      </c>
      <c r="C18" s="15">
        <f>C13+C16*B24</f>
        <v>83.807650713843927</v>
      </c>
      <c r="D18" s="15">
        <f>D13</f>
        <v>-4.9088625286877203</v>
      </c>
      <c r="F18" s="15">
        <f>F13+F16*F4</f>
        <v>90</v>
      </c>
      <c r="G18" s="1">
        <f>G13+G16*F24</f>
        <v>37.731657918420133</v>
      </c>
      <c r="H18" s="1">
        <f>H13+H16*G24</f>
        <v>-2.04937234108138</v>
      </c>
    </row>
    <row r="19" spans="1:8" ht="19" x14ac:dyDescent="0.3">
      <c r="A19" s="17" t="s">
        <v>89</v>
      </c>
      <c r="B19" s="15">
        <f>B16*G3</f>
        <v>-6.5687579693668177</v>
      </c>
      <c r="C19" s="15">
        <f>C16*B25</f>
        <v>-1.2260428445428131</v>
      </c>
      <c r="D19" s="1"/>
      <c r="F19" s="15">
        <f>F16*G4</f>
        <v>-1.3290299082180017</v>
      </c>
      <c r="G19" s="1">
        <f>G16*F25</f>
        <v>-0.2483509761228207</v>
      </c>
    </row>
    <row r="20" spans="1:8" ht="19" x14ac:dyDescent="0.3">
      <c r="A20" s="17" t="s">
        <v>74</v>
      </c>
      <c r="B20" s="15">
        <f>SQRT(B14^2 -1*(J3)*B15)</f>
        <v>0.99784489567934154</v>
      </c>
      <c r="C20" s="15">
        <f>SQRT(C14^2 -1*(K3)*C15)</f>
        <v>0.99479522122042963</v>
      </c>
      <c r="D20" s="1"/>
      <c r="F20" s="15">
        <f>SQRT(F14^2 -1*(J4)*F15)</f>
        <v>0.99956396656554525</v>
      </c>
      <c r="G20" s="1">
        <f>SQRT(G14^2-1*K4*G15)</f>
        <v>0.99894707991948062</v>
      </c>
    </row>
    <row r="21" spans="1:8" x14ac:dyDescent="0.2">
      <c r="A21" s="18" t="s">
        <v>79</v>
      </c>
      <c r="B21" s="15">
        <f>2*B20</f>
        <v>1.9956897913586831</v>
      </c>
      <c r="C21" s="15">
        <f>2*C20</f>
        <v>1.9895904424408593</v>
      </c>
      <c r="D21" s="1"/>
      <c r="F21" s="15">
        <f>2*F20</f>
        <v>1.9991279331310905</v>
      </c>
      <c r="G21" s="15">
        <f>2*G20</f>
        <v>1.9978941598389612</v>
      </c>
    </row>
    <row r="22" spans="1:8" ht="18" x14ac:dyDescent="0.25">
      <c r="A22" s="18" t="s">
        <v>82</v>
      </c>
      <c r="B22" s="15">
        <v>-1</v>
      </c>
      <c r="C22" s="15">
        <v>-1</v>
      </c>
      <c r="D22" s="1"/>
      <c r="F22" s="15">
        <v>-1</v>
      </c>
      <c r="G22" s="15">
        <v>-1</v>
      </c>
    </row>
    <row r="23" spans="1:8" ht="19" x14ac:dyDescent="0.3">
      <c r="A23" s="17" t="s">
        <v>75</v>
      </c>
      <c r="B23" s="15">
        <f>B22*E3-1*B21*J3*B17</f>
        <v>0</v>
      </c>
      <c r="C23" s="15">
        <f>C22*B23-1*C21*K3*C17</f>
        <v>0</v>
      </c>
      <c r="D23" s="1"/>
      <c r="F23" s="15">
        <f>F22*E4-1*F21*J4*F17</f>
        <v>0</v>
      </c>
      <c r="G23" s="15">
        <f>G22*F23-1*G21*K4*G17</f>
        <v>0</v>
      </c>
    </row>
    <row r="24" spans="1:8" ht="19" x14ac:dyDescent="0.3">
      <c r="A24" s="17" t="s">
        <v>76</v>
      </c>
      <c r="B24" s="15">
        <f>B22*E3-1*B21*J3*B18</f>
        <v>0.13095077371119968</v>
      </c>
      <c r="C24" s="15">
        <f>C22*B24-1*C21*K3*C18</f>
        <v>-7.2750808313752649E-2</v>
      </c>
      <c r="D24" s="1"/>
      <c r="F24" s="15">
        <f>F22*F4-1*F21*J4*F18</f>
        <v>5.9029368104264478E-2</v>
      </c>
      <c r="G24" s="15">
        <f>G22*F24-1*G21*K4*G18</f>
        <v>-3.2717375435415239E-2</v>
      </c>
    </row>
    <row r="25" spans="1:8" ht="19" x14ac:dyDescent="0.3">
      <c r="A25" s="17" t="s">
        <v>77</v>
      </c>
      <c r="B25" s="15">
        <f>B22*G3-1*B21*(J3*B19 - 1)</f>
        <v>0.99138887166663214</v>
      </c>
      <c r="C25" s="15">
        <f>C22*B25-1*C21*(K3*C19 - 1)</f>
        <v>0.99735014908992503</v>
      </c>
      <c r="D25" s="1"/>
      <c r="F25" s="15">
        <f>F22*G3-1*F21*(J4*F19 - 1)</f>
        <v>0.9982562465124929</v>
      </c>
      <c r="G25" s="15">
        <f>G22*F25-1*G21*(K4*G19 - 1)</f>
        <v>0.99946472695132504</v>
      </c>
    </row>
    <row r="26" spans="1:8" ht="58" customHeight="1" x14ac:dyDescent="0.3">
      <c r="A26" s="16" t="s">
        <v>73</v>
      </c>
      <c r="B26" s="15">
        <f>B23^2+B24^2+B25^2</f>
        <v>0.99999999999999989</v>
      </c>
      <c r="C26" s="15">
        <f>C23^2+C24^2+C25^2</f>
        <v>1.0000000000000002</v>
      </c>
      <c r="F26" s="15">
        <f>F23^2+F24^2+F25^2</f>
        <v>0.99999999999999967</v>
      </c>
      <c r="G26" s="15">
        <f>G23^2+G24^2+G25^2</f>
        <v>1.0000001670752685</v>
      </c>
    </row>
    <row r="27" spans="1:8" ht="41" customHeight="1" x14ac:dyDescent="0.3">
      <c r="A27" s="16" t="s">
        <v>87</v>
      </c>
      <c r="B27" s="20" t="s">
        <v>86</v>
      </c>
      <c r="C27" s="21" t="s">
        <v>86</v>
      </c>
      <c r="D27" s="1">
        <f>-1*C18/C24</f>
        <v>1151.9823993213436</v>
      </c>
      <c r="F27" s="21" t="s">
        <v>86</v>
      </c>
      <c r="G27" s="21" t="s">
        <v>86</v>
      </c>
      <c r="H27" s="1">
        <f>-1*G18/G24</f>
        <v>1153.2605356106021</v>
      </c>
    </row>
    <row r="28" spans="1:8" ht="60" customHeight="1" x14ac:dyDescent="0.3">
      <c r="A28" s="16" t="s">
        <v>88</v>
      </c>
      <c r="B28" s="20" t="s">
        <v>86</v>
      </c>
      <c r="C28" s="20" t="s">
        <v>86</v>
      </c>
      <c r="D28" s="15">
        <f>D27*C25+C19</f>
        <v>1147.7037748675687</v>
      </c>
      <c r="F28" s="21" t="s">
        <v>86</v>
      </c>
      <c r="G28" s="21" t="s">
        <v>86</v>
      </c>
      <c r="H28" s="15">
        <f>H27*G25+G19</f>
        <v>1152.3948753516665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NOFS</vt:lpstr>
      <vt:lpstr>Filter glass</vt:lpstr>
      <vt:lpstr>40 cm Exact Ray Trace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Zavala, Robert T (Bob) JR CIV USN NAVOBSYSTA FLG AZ (USA)</dc:creator>
  <cp:lastModifiedBy>Zavala, Robert T (Bob) JR CIV USN NAVOBSYSTA FLG AZ (U</cp:lastModifiedBy>
  <dcterms:created xsi:type="dcterms:W3CDTF">2025-12-05T16:44:40Z</dcterms:created>
  <dcterms:modified xsi:type="dcterms:W3CDTF">2026-02-09T22:36:00Z</dcterms:modified>
</cp:coreProperties>
</file>