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.zavala/Desktop/bobMacBackUp/Optics/Ray tracing/"/>
    </mc:Choice>
  </mc:AlternateContent>
  <xr:revisionPtr revIDLastSave="0" documentId="13_ncr:1_{4F4D1927-6C62-F345-A887-184262790843}" xr6:coauthVersionLast="47" xr6:coauthVersionMax="47" xr10:uidLastSave="{00000000-0000-0000-0000-000000000000}"/>
  <bookViews>
    <workbookView xWindow="10800" yWindow="6640" windowWidth="47780" windowHeight="16760" xr2:uid="{9120E6CE-487D-4A4E-A0CB-02EC34448099}"/>
  </bookViews>
  <sheets>
    <sheet name="NOF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" i="2" l="1"/>
  <c r="N13" i="2"/>
  <c r="M13" i="2"/>
  <c r="O13" i="2"/>
  <c r="L13" i="2"/>
  <c r="K13" i="2"/>
  <c r="J13" i="2"/>
  <c r="I13" i="2"/>
  <c r="E13" i="2"/>
  <c r="B15" i="2"/>
  <c r="H13" i="2"/>
  <c r="G13" i="2"/>
  <c r="F13" i="2"/>
  <c r="B13" i="2"/>
  <c r="W9" i="2"/>
  <c r="W11" i="2" s="1"/>
  <c r="V9" i="2"/>
  <c r="V11" i="2" s="1"/>
  <c r="U9" i="2"/>
  <c r="U11" i="2" s="1"/>
  <c r="J9" i="2"/>
  <c r="C9" i="2"/>
  <c r="B9" i="2"/>
  <c r="G9" i="2" s="1"/>
  <c r="I9" i="2" l="1"/>
  <c r="D9" i="2"/>
  <c r="F9" i="2" s="1"/>
  <c r="H9" i="2" s="1"/>
  <c r="L9" i="2" l="1"/>
  <c r="S9" i="2"/>
  <c r="S11" i="2" s="1"/>
  <c r="R9" i="2"/>
  <c r="R11" i="2" s="1"/>
  <c r="T9" i="2"/>
  <c r="T11" i="2" s="1"/>
  <c r="N9" i="2"/>
  <c r="K9" i="2"/>
  <c r="E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tc={F0B50C6E-B471-C840-AFAF-86D29A3A3206}</author>
    <author>tc={CCA9F9D2-3867-8D4C-B412-C3214225D83E}</author>
    <author>tc={B3EE743C-9DC9-9C46-A724-E50D33845875}</author>
    <author>tc={1D03FF7D-1DF4-0243-8510-3D2521588EE3}</author>
    <author>tc={8B232EF6-38AE-8940-9673-E83B3C93B41C}</author>
    <author>tc={14660CF1-6C30-3C48-AECC-3895F8B1520C}</author>
    <author>tc={EA2FF422-D5E7-A544-BFFA-D745CCAE8021}</author>
    <author>tc={0D1CF9BB-F572-C64C-A7BB-3246AECD9042}</author>
    <author>tc={85E3B126-43D6-094E-B8BE-A27C4989E2BE}</author>
    <author>tc={9D1DBCD1-66F9-FC43-A270-B8AA33D3D9BA}</author>
    <author>tc={599CDE9C-DE6D-D24E-B887-9F3C4EE18425}</author>
    <author>tc={7431E541-2B88-C945-A634-8CBA58C41BA2}</author>
    <author>tc={814CFA3D-FA54-9444-9151-BCA2F1EDADCD}</author>
    <author>tc={657B9C48-B428-3C40-8068-34DECA5F33A6}</author>
    <author>tc={D9869BD4-6229-984D-AA75-E2711985E400}</author>
    <author>tc={7B1F4DCB-9E16-DF4A-AABB-8CB4BFB2BBBF}</author>
    <author>tc={E9CD66AE-FB9F-574A-B74C-C41D982DEA62}</author>
  </authors>
  <commentList>
    <comment ref="A7" authorId="0" shapeId="0" xr:uid="{F0B50C6E-B471-C840-AFAF-86D29A3A3206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1" shapeId="0" xr:uid="{CCA9F9D2-3867-8D4C-B412-C3214225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2" shapeId="0" xr:uid="{B3EE743C-9DC9-9C46-A724-E50D338458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3" shapeId="0" xr:uid="{1D03FF7D-1DF4-0243-8510-3D2521588EE3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value of K1 using m and eta.</t>
      </text>
    </comment>
    <comment ref="N7" authorId="4" shapeId="0" xr:uid="{8B232EF6-38AE-8940-9673-E83B3C93B41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 value of K2 using m for no spherical aberration </t>
      </text>
    </comment>
    <comment ref="R7" authorId="5" shapeId="0" xr:uid="{14660CF1-6C30-3C48-AECC-3895F8B152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error at diffraction focus for astigmatism (telescope-optics.net Eqn.  84.2 Sec. 8.2.2) using as built K1 and K2 from blueprints. Angles are in multiples of 1/3 of the way along the radius of an Andor Marana 2048 sCMOS 11-micron pixel camera. </t>
      </text>
    </comment>
    <comment ref="S7" authorId="6" shapeId="0" xr:uid="{EA2FF422-D5E7-A544-BFFA-D745CCAE80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  <comment ref="T7" authorId="7" shapeId="0" xr:uid="{0D1CF9BB-F572-C64C-A7BB-3246AECD90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  <comment ref="U7" authorId="8" shapeId="0" xr:uid="{85E3B126-43D6-094E-B8BE-A27C4989E2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V7" authorId="9" shapeId="0" xr:uid="{9D1DBCD1-66F9-FC43-A270-B8AA33D3D9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W7" authorId="10" shapeId="0" xr:uid="{599CDE9C-DE6D-D24E-B887-9F3C4EE18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I12" authorId="11" shapeId="0" xr:uid="{7431E541-2B88-C945-A634-8CBA58C41B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Does not allow for stop at secondary. </t>
      </text>
    </comment>
    <comment ref="J12" authorId="12" shapeId="0" xr:uid="{814CFA3D-FA54-9444-9151-BCA2F1EDADCD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not allow for stop at secondary.</t>
      </text>
    </comment>
    <comment ref="O12" authorId="13" shapeId="0" xr:uid="{657B9C48-B428-3C40-8068-34DECA5F33A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See telescope-optics.net Sections 4.3 and 4.2 in which Delta is defined in equation 21. </t>
      </text>
    </comment>
    <comment ref="P12" authorId="14" shapeId="0" xr:uid="{D9869BD4-6229-984D-AA75-E2711985E4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Assumes a 2048 square detector, 15 micron pixels with max image height of 15.36 mm rounded to 15mm and max normalized pupil radius = 1, telescope-optics.net Eqn. 31. I think the sign is correct as it should curve away from the focal plane and point away from the secondary. Without the secondary the curvature "curves" away from the primary. </t>
      </text>
    </comment>
    <comment ref="F14" authorId="15" shapeId="0" xr:uid="{7B1F4DCB-9E16-DF4A-AABB-8CB4BFB2BB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14" authorId="16" shapeId="0" xr:uid="{E9CD66AE-FB9F-574A-B74C-C41D982DE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</commentList>
</comments>
</file>

<file path=xl/sharedStrings.xml><?xml version="1.0" encoding="utf-8"?>
<sst xmlns="http://schemas.openxmlformats.org/spreadsheetml/2006/main" count="93" uniqueCount="62">
  <si>
    <t>Diam. (mm)</t>
  </si>
  <si>
    <r>
      <t>R</t>
    </r>
    <r>
      <rPr>
        <b/>
        <vertAlign val="subscript"/>
        <sz val="12"/>
        <color theme="1"/>
        <rFont val="Aptos Narrow (Body)"/>
      </rPr>
      <t>1</t>
    </r>
  </si>
  <si>
    <r>
      <rPr>
        <b/>
        <sz val="12"/>
        <color theme="1"/>
        <rFont val="Aptos Narrow (Body)"/>
      </rPr>
      <t>K</t>
    </r>
    <r>
      <rPr>
        <b/>
        <vertAlign val="subscript"/>
        <sz val="12"/>
        <color theme="1"/>
        <rFont val="Aptos Narrow (Body)"/>
      </rPr>
      <t>1</t>
    </r>
  </si>
  <si>
    <r>
      <t>S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1</t>
    </r>
  </si>
  <si>
    <r>
      <t>R</t>
    </r>
    <r>
      <rPr>
        <b/>
        <vertAlign val="subscript"/>
        <sz val="12"/>
        <color theme="1"/>
        <rFont val="Aptos Narrow (Body)"/>
      </rPr>
      <t>2</t>
    </r>
  </si>
  <si>
    <r>
      <t>K</t>
    </r>
    <r>
      <rPr>
        <b/>
        <vertAlign val="subscript"/>
        <sz val="12"/>
        <color theme="1"/>
        <rFont val="Aptos Narrow (Body)"/>
      </rPr>
      <t>2</t>
    </r>
  </si>
  <si>
    <r>
      <t>S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</si>
  <si>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R</t>
    </r>
    <r>
      <rPr>
        <b/>
        <vertAlign val="subscript"/>
        <sz val="12"/>
        <color theme="1"/>
        <rFont val="Aptos Narrow (Body)"/>
      </rPr>
      <t>3</t>
    </r>
  </si>
  <si>
    <r>
      <t>S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3</t>
    </r>
  </si>
  <si>
    <r>
      <t>R</t>
    </r>
    <r>
      <rPr>
        <b/>
        <vertAlign val="subscript"/>
        <sz val="12"/>
        <color theme="1"/>
        <rFont val="Aptos Narrow (Body)"/>
      </rPr>
      <t>4</t>
    </r>
  </si>
  <si>
    <r>
      <t>S</t>
    </r>
    <r>
      <rPr>
        <b/>
        <vertAlign val="subscript"/>
        <sz val="12"/>
        <color theme="1"/>
        <rFont val="Aptos Narrow (Body)"/>
      </rPr>
      <t>4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4</t>
    </r>
  </si>
  <si>
    <r>
      <t>R</t>
    </r>
    <r>
      <rPr>
        <b/>
        <vertAlign val="subscript"/>
        <sz val="12"/>
        <color theme="1"/>
        <rFont val="Aptos Narrow (Body)"/>
      </rPr>
      <t>5</t>
    </r>
  </si>
  <si>
    <r>
      <t>S</t>
    </r>
    <r>
      <rPr>
        <b/>
        <vertAlign val="subscript"/>
        <sz val="12"/>
        <color theme="1"/>
        <rFont val="Aptos Narrow (Body)"/>
      </rPr>
      <t>5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5</t>
    </r>
  </si>
  <si>
    <r>
      <t>R</t>
    </r>
    <r>
      <rPr>
        <b/>
        <vertAlign val="subscript"/>
        <sz val="12"/>
        <color theme="1"/>
        <rFont val="Aptos Narrow (Body)"/>
      </rPr>
      <t>6</t>
    </r>
  </si>
  <si>
    <r>
      <t>S</t>
    </r>
    <r>
      <rPr>
        <b/>
        <vertAlign val="subscript"/>
        <sz val="12"/>
        <color theme="1"/>
        <rFont val="Aptos Narrow (Body)"/>
      </rPr>
      <t>6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6</t>
    </r>
  </si>
  <si>
    <r>
      <t>R</t>
    </r>
    <r>
      <rPr>
        <b/>
        <vertAlign val="subscript"/>
        <sz val="12"/>
        <color theme="1"/>
        <rFont val="Aptos Narrow (Body)"/>
      </rPr>
      <t>7</t>
    </r>
  </si>
  <si>
    <r>
      <t>S</t>
    </r>
    <r>
      <rPr>
        <b/>
        <vertAlign val="subscript"/>
        <sz val="12"/>
        <color theme="1"/>
        <rFont val="Aptos Narrow (Body)"/>
      </rPr>
      <t>7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7</t>
    </r>
  </si>
  <si>
    <r>
      <t>R</t>
    </r>
    <r>
      <rPr>
        <b/>
        <vertAlign val="subscript"/>
        <sz val="12"/>
        <color theme="1"/>
        <rFont val="Aptos Narrow (Body)"/>
      </rPr>
      <t>I</t>
    </r>
  </si>
  <si>
    <t>Glass</t>
  </si>
  <si>
    <r>
      <t>F</t>
    </r>
    <r>
      <rPr>
        <b/>
        <vertAlign val="subscript"/>
        <sz val="12"/>
        <color theme="1"/>
        <rFont val="Aptos Narrow (Body)"/>
      </rPr>
      <t>1</t>
    </r>
  </si>
  <si>
    <t>Factor (mm)</t>
  </si>
  <si>
    <r>
      <t>m</t>
    </r>
    <r>
      <rPr>
        <b/>
        <vertAlign val="subscript"/>
        <sz val="12"/>
        <color theme="1"/>
        <rFont val="Aptos Narrow (Body)"/>
      </rPr>
      <t>F</t>
    </r>
  </si>
  <si>
    <r>
      <t>m</t>
    </r>
    <r>
      <rPr>
        <b/>
        <vertAlign val="subscript"/>
        <sz val="12"/>
        <color theme="1"/>
        <rFont val="Aptos Narrow (Body)"/>
      </rPr>
      <t>i</t>
    </r>
  </si>
  <si>
    <t>m(avg)</t>
  </si>
  <si>
    <t>η</t>
  </si>
  <si>
    <t>k</t>
  </si>
  <si>
    <t>ρ</t>
  </si>
  <si>
    <r>
      <t>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</si>
  <si>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(arcmin)</t>
    </r>
  </si>
  <si>
    <t>Big 3</t>
  </si>
  <si>
    <t>61-inch</t>
  </si>
  <si>
    <t>40-inch</t>
  </si>
  <si>
    <t>1.3 m</t>
  </si>
  <si>
    <t>BK7(?)</t>
  </si>
  <si>
    <t>K1 = -1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</si>
  <si>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</si>
  <si>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</si>
  <si>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t>Estimated value of K1</t>
  </si>
  <si>
    <t xml:space="preserve"> Estimated value of K2</t>
  </si>
  <si>
    <r>
      <t>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</si>
  <si>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</t>
    </r>
  </si>
  <si>
    <t>1.3 m w/out corr.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</si>
  <si>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</si>
  <si>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</si>
  <si>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</si>
  <si>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</si>
  <si>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</si>
  <si>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</si>
  <si>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C</t>
    </r>
    <r>
      <rPr>
        <b/>
        <sz val="12"/>
        <color theme="1"/>
        <rFont val="Aptos Narrow (Body)"/>
      </rPr>
      <t xml:space="preserve"> 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</si>
  <si>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</si>
  <si>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C</t>
    </r>
    <r>
      <rPr>
        <b/>
        <sz val="12"/>
        <color theme="1"/>
        <rFont val="Aptos Narrow (Body)"/>
      </rPr>
      <t xml:space="preserve"> 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</si>
  <si>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t>Aplanat Wavefront error check</t>
  </si>
  <si>
    <t>Folded Newtonian Wavefront error check</t>
  </si>
  <si>
    <r>
      <t>f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</si>
  <si>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f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(mm)</t>
    </r>
  </si>
  <si>
    <t>F/</t>
  </si>
  <si>
    <t>Dall-Kirkham</t>
  </si>
  <si>
    <t>40-cm</t>
  </si>
  <si>
    <t>Astigmatism stop coefficient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</si>
  <si>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w/ stop coeff.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</si>
  <si>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w/ stop coeff.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 </t>
    </r>
  </si>
  <si>
    <r>
      <t>W</t>
    </r>
    <r>
      <rPr>
        <b/>
        <vertAlign val="subscript"/>
        <sz val="12"/>
        <color theme="1"/>
        <rFont val="Aptos Narrow (Body)"/>
      </rPr>
      <t xml:space="preserve">curv </t>
    </r>
    <r>
      <rPr>
        <b/>
        <sz val="12"/>
        <color theme="1"/>
        <rFont val="Aptos Narrow (Body)"/>
      </rPr>
      <t>max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 xml:space="preserve">pupil height </t>
    </r>
    <r>
      <rPr>
        <b/>
        <sz val="12"/>
        <color theme="1"/>
        <rFont val="Aptos Narrow"/>
        <scheme val="minor"/>
      </rPr>
      <t>(nm)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</si>
</sst>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E+00"/>
    <numFmt numFmtId="165" formatCode="0.000"/>
    <numFmt numFmtId="166" formatCode="0.0000"/>
    <numFmt numFmtId="167" formatCode="0.0"/>
    <numFmt numFmtId="168" formatCode="0.0000E+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Aptos Narrow (Body)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avala, Robert T (Bob) JR CIV USN NAVOBSYSTA FLG AZ (USA)" id="{8C851638-141B-034A-B4A3-8E6355A961FE}" userId="S::robert.t.zavala.civ@us.navy.mil::0e525848-4c34-445f-9460-d81d21eb6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" dT="2025-12-05T19:04:58.22" personId="{8C851638-141B-034A-B4A3-8E6355A961FE}" id="{F0B50C6E-B471-C840-AFAF-86D29A3A3206}">
    <text>Spherical aberration wavefront error peak to valley error for a Dall-Kirkham telescope with K2 = zero.</text>
  </threadedComment>
  <threadedComment ref="F7" dT="2025-12-05T18:56:25.76" personId="{8C851638-141B-034A-B4A3-8E6355A961FE}" id="{CCA9F9D2-3867-8D4C-B412-C3214225D83E}">
    <text>relative secondary magnification from system and primary F numbers</text>
  </threadedComment>
  <threadedComment ref="G7" dT="2025-12-05T18:56:25.76" personId="{8C851638-141B-034A-B4A3-8E6355A961FE}" id="{B3EE743C-9DC9-9C46-A724-E50D33845875}">
    <text>relative secondary magnification from system i-prime and i image distances</text>
  </threadedComment>
  <threadedComment ref="L7" dT="2025-12-05T22:28:03.70" personId="{8C851638-141B-034A-B4A3-8E6355A961FE}" id="{1D03FF7D-1DF4-0243-8510-3D2521588EE3}">
    <text>Estimated value of K1 using m and eta.</text>
  </threadedComment>
  <threadedComment ref="N7" dT="2025-12-30T17:00:44.79" personId="{8C851638-141B-034A-B4A3-8E6355A961FE}" id="{8B232EF6-38AE-8940-9673-E83B3C93B41C}">
    <text xml:space="preserve">Estimated value of K2 using m for no spherical aberration </text>
  </threadedComment>
  <threadedComment ref="R7" dT="2025-12-05T19:04:58.22" personId="{8C851638-141B-034A-B4A3-8E6355A961FE}" id="{14660CF1-6C30-3C48-AECC-3895F8B1520C}">
    <text xml:space="preserve">Wavefront Peak-to-valley error at diffraction focus for astigmatism (telescope-optics.net Eqn.  84.2 Sec. 8.2.2) using as built K1 and K2 from blueprints. Angles are in multiples of 1/3 of the way along the radius of an Andor Marana 2048 sCMOS 11-micron pixel camera. </text>
  </threadedComment>
  <threadedComment ref="S7" dT="2025-12-05T19:04:58.22" personId="{8C851638-141B-034A-B4A3-8E6355A961FE}" id="{EA2FF422-D5E7-A544-BFFA-D745CCAE8021}">
    <text/>
  </threadedComment>
  <threadedComment ref="T7" dT="2025-12-05T19:04:58.22" personId="{8C851638-141B-034A-B4A3-8E6355A961FE}" id="{0D1CF9BB-F572-C64C-A7BB-3246AECD9042}">
    <text/>
  </threadedComment>
  <threadedComment ref="U7" dT="2025-12-30T00:18:39.75" personId="{8C851638-141B-034A-B4A3-8E6355A961FE}" id="{85E3B126-43D6-094E-B8BE-A27C4989E2BE}">
    <text xml:space="preserve">Wavefront Peak-to-valley Seidel coma error at diffraction focus (Eqn. 84.2, telescopeoptics.net) </text>
  </threadedComment>
  <threadedComment ref="V7" dT="2025-12-30T00:18:39.75" personId="{8C851638-141B-034A-B4A3-8E6355A961FE}" id="{9D1DBCD1-66F9-FC43-A270-B8AA33D3D9BA}">
    <text xml:space="preserve">Wavefront Peak-to-valley Seidel coma error at diffraction focus (Eqn. 84.2, telescopeoptics.net) </text>
  </threadedComment>
  <threadedComment ref="W7" dT="2025-12-30T00:18:39.75" personId="{8C851638-141B-034A-B4A3-8E6355A961FE}" id="{599CDE9C-DE6D-D24E-B887-9F3C4EE18425}">
    <text xml:space="preserve">Wavefront Peak-to-valley Seidel coma error at diffraction focus (Eqn. 84.2, telescopeoptics.net) </text>
  </threadedComment>
  <threadedComment ref="I12" dT="2026-01-14T21:37:54.72" personId="{8C851638-141B-034A-B4A3-8E6355A961FE}" id="{7431E541-2B88-C945-A634-8CBA58C41BA2}">
    <text xml:space="preserve">Does not allow for stop at secondary. </text>
  </threadedComment>
  <threadedComment ref="J12" dT="2026-01-14T21:38:11.64" personId="{8C851638-141B-034A-B4A3-8E6355A961FE}" id="{814CFA3D-FA54-9444-9151-BCA2F1EDADCD}">
    <text>Does not allow for stop at secondary.</text>
  </threadedComment>
  <threadedComment ref="O12" dT="2026-01-14T22:20:34.13" personId="{8C851638-141B-034A-B4A3-8E6355A961FE}" id="{657B9C48-B428-3C40-8068-34DECA5F33A6}">
    <text xml:space="preserve">See telescope-optics.net Sections 4.3 and 4.2 in which Delta is defined in equation 21. </text>
  </threadedComment>
  <threadedComment ref="P12" dT="2026-01-15T00:09:35.28" personId="{8C851638-141B-034A-B4A3-8E6355A961FE}" id="{D9869BD4-6229-984D-AA75-E2711985E400}">
    <text xml:space="preserve">Assumes a 2048 square detector, 15 micron pixels with max image height of 15.36 mm rounded to 15mm and max normalized pupil radius = 1, telescope-optics.net Eqn. 31. I think the sign is correct as it should curve away from the focal plane and point away from the secondary. Without the secondary the curvature "curves" away from the primary. </text>
  </threadedComment>
  <threadedComment ref="F14" dT="2025-12-05T18:56:25.76" personId="{8C851638-141B-034A-B4A3-8E6355A961FE}" id="{7B1F4DCB-9E16-DF4A-AABB-8CB4BFB2BBBF}">
    <text>relative secondary magnification from system and primary F numbers</text>
  </threadedComment>
  <threadedComment ref="G14" dT="2025-12-05T18:56:25.76" personId="{8C851638-141B-034A-B4A3-8E6355A961FE}" id="{E9CD66AE-FB9F-574A-B74C-C41D982DEA62}">
    <text>relative secondary magnification from system i-prime and i image distances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685D-8724-5246-AEF2-3915C8A371E5}">
  <dimension ref="A1:Y15"/>
  <sheetViews>
    <sheetView tabSelected="1" zoomScale="140" zoomScaleNormal="140" workbookViewId="0">
      <selection activeCell="P12" sqref="P12"/>
    </sheetView>
  </sheetViews>
  <sheetFormatPr baseColWidth="10" defaultRowHeight="16" x14ac:dyDescent="0.2"/>
  <cols>
    <col min="1" max="1" width="20" customWidth="1"/>
    <col min="13" max="14" width="11.83203125" bestFit="1" customWidth="1"/>
    <col min="15" max="15" width="11.33203125" customWidth="1"/>
    <col min="16" max="16" width="13.5" bestFit="1" customWidth="1"/>
    <col min="24" max="24" width="13.33203125" bestFit="1" customWidth="1"/>
  </cols>
  <sheetData>
    <row r="1" spans="1:25" s="2" customFormat="1" ht="18" x14ac:dyDescent="0.25">
      <c r="A1" s="2" t="s">
        <v>29</v>
      </c>
      <c r="B1" s="2" t="s">
        <v>0</v>
      </c>
      <c r="C1" s="2" t="s">
        <v>55</v>
      </c>
      <c r="D1" s="2" t="s">
        <v>1</v>
      </c>
      <c r="E1" s="3" t="s">
        <v>2</v>
      </c>
      <c r="F1" s="2" t="s">
        <v>3</v>
      </c>
      <c r="G1" s="2" t="s">
        <v>4</v>
      </c>
      <c r="H1" s="4" t="s">
        <v>5</v>
      </c>
      <c r="I1" s="2" t="s">
        <v>6</v>
      </c>
      <c r="J1" s="2" t="s">
        <v>7</v>
      </c>
      <c r="K1" s="2" t="s">
        <v>8</v>
      </c>
      <c r="L1" s="2" t="s">
        <v>18</v>
      </c>
      <c r="M1" s="2" t="s">
        <v>9</v>
      </c>
      <c r="N1" s="2" t="s">
        <v>10</v>
      </c>
      <c r="O1" s="2" t="s">
        <v>18</v>
      </c>
      <c r="P1" s="2" t="s">
        <v>11</v>
      </c>
      <c r="Q1" s="2" t="s">
        <v>12</v>
      </c>
      <c r="R1" s="2" t="s">
        <v>18</v>
      </c>
      <c r="S1" s="2" t="s">
        <v>13</v>
      </c>
      <c r="T1" s="2" t="s">
        <v>14</v>
      </c>
      <c r="U1" s="2" t="s">
        <v>18</v>
      </c>
      <c r="V1" s="2" t="s">
        <v>15</v>
      </c>
      <c r="W1" s="2" t="s">
        <v>16</v>
      </c>
      <c r="X1" s="2" t="s">
        <v>18</v>
      </c>
      <c r="Y1" s="2" t="s">
        <v>17</v>
      </c>
    </row>
    <row r="2" spans="1:25" s="1" customFormat="1" x14ac:dyDescent="0.2">
      <c r="A2" s="1" t="s">
        <v>30</v>
      </c>
      <c r="B2" s="5">
        <v>1549</v>
      </c>
      <c r="C2" s="11">
        <v>9.8000000000000007</v>
      </c>
      <c r="D2" s="5">
        <v>-30557.78</v>
      </c>
      <c r="E2" s="1">
        <v>-1</v>
      </c>
      <c r="F2" s="1">
        <v>-6502.4849999999997</v>
      </c>
      <c r="G2" s="1">
        <v>0</v>
      </c>
      <c r="I2" s="1">
        <v>6502.4849999999997</v>
      </c>
      <c r="K2" s="1">
        <v>2768.92</v>
      </c>
      <c r="N2" s="1">
        <v>0</v>
      </c>
      <c r="Q2" s="1">
        <v>0</v>
      </c>
      <c r="T2" s="1">
        <v>0</v>
      </c>
      <c r="W2" s="1">
        <v>0</v>
      </c>
    </row>
    <row r="3" spans="1:25" s="1" customFormat="1" x14ac:dyDescent="0.2">
      <c r="A3" s="1" t="s">
        <v>31</v>
      </c>
      <c r="B3" s="5">
        <v>1000</v>
      </c>
      <c r="C3" s="11">
        <v>7.3</v>
      </c>
      <c r="D3" s="5">
        <v>-14600</v>
      </c>
    </row>
    <row r="4" spans="1:25" s="1" customFormat="1" x14ac:dyDescent="0.2">
      <c r="A4" s="1" t="s">
        <v>32</v>
      </c>
      <c r="B4" s="5">
        <v>1287.78</v>
      </c>
      <c r="C4" s="11">
        <v>4</v>
      </c>
      <c r="D4" s="5">
        <v>-6060.69</v>
      </c>
      <c r="E4" s="1">
        <v>-1.637</v>
      </c>
      <c r="F4" s="1">
        <v>-1735.13</v>
      </c>
      <c r="G4" s="1">
        <v>-6060.69</v>
      </c>
      <c r="H4" s="1">
        <v>-35.781999999999996</v>
      </c>
      <c r="I4" s="1">
        <v>1802.85</v>
      </c>
      <c r="K4" s="1">
        <v>306.32</v>
      </c>
      <c r="L4" s="1" t="s">
        <v>33</v>
      </c>
      <c r="N4" s="1">
        <v>25.98</v>
      </c>
      <c r="O4" s="1" t="s">
        <v>33</v>
      </c>
      <c r="Q4" s="1">
        <v>29.997</v>
      </c>
      <c r="R4" s="1" t="s">
        <v>33</v>
      </c>
      <c r="T4" s="1">
        <v>0</v>
      </c>
      <c r="W4" s="1">
        <v>0</v>
      </c>
    </row>
    <row r="5" spans="1:25" x14ac:dyDescent="0.2">
      <c r="A5" s="1" t="s">
        <v>57</v>
      </c>
      <c r="B5" s="5">
        <v>400</v>
      </c>
      <c r="C5" s="11">
        <v>7</v>
      </c>
      <c r="D5" s="5">
        <v>-5600</v>
      </c>
    </row>
    <row r="7" spans="1:25" s="10" customFormat="1" ht="68" customHeight="1" x14ac:dyDescent="0.25">
      <c r="A7" s="9" t="s">
        <v>51</v>
      </c>
      <c r="B7" s="10" t="s">
        <v>53</v>
      </c>
      <c r="C7" s="10" t="s">
        <v>54</v>
      </c>
      <c r="D7" s="10" t="s">
        <v>19</v>
      </c>
      <c r="E7" s="10" t="s">
        <v>20</v>
      </c>
      <c r="F7" s="10" t="s">
        <v>21</v>
      </c>
      <c r="G7" s="10" t="s">
        <v>22</v>
      </c>
      <c r="H7" s="10" t="s">
        <v>23</v>
      </c>
      <c r="I7" s="9" t="s">
        <v>24</v>
      </c>
      <c r="J7" s="10" t="s">
        <v>26</v>
      </c>
      <c r="K7" s="10" t="s">
        <v>25</v>
      </c>
      <c r="L7" s="10" t="s">
        <v>37</v>
      </c>
      <c r="M7" s="10" t="s">
        <v>34</v>
      </c>
      <c r="N7" s="10" t="s">
        <v>38</v>
      </c>
      <c r="O7" s="10" t="s">
        <v>27</v>
      </c>
      <c r="P7" s="10" t="s">
        <v>28</v>
      </c>
      <c r="Q7" s="10" t="s">
        <v>39</v>
      </c>
      <c r="R7" s="9" t="s">
        <v>40</v>
      </c>
      <c r="S7" s="9" t="s">
        <v>43</v>
      </c>
      <c r="T7" s="9" t="s">
        <v>44</v>
      </c>
      <c r="U7" s="10" t="s">
        <v>35</v>
      </c>
      <c r="V7" s="10" t="s">
        <v>36</v>
      </c>
      <c r="W7" s="10" t="s">
        <v>42</v>
      </c>
    </row>
    <row r="8" spans="1:25" x14ac:dyDescent="0.2">
      <c r="A8" s="1" t="s">
        <v>31</v>
      </c>
      <c r="M8" s="5">
        <v>-1</v>
      </c>
    </row>
    <row r="9" spans="1:25" ht="18" customHeight="1" x14ac:dyDescent="0.2">
      <c r="A9" s="1" t="s">
        <v>41</v>
      </c>
      <c r="B9">
        <f>D4/2</f>
        <v>-3030.3449999999998</v>
      </c>
      <c r="C9">
        <f>G4/2</f>
        <v>-3030.3449999999998</v>
      </c>
      <c r="D9">
        <f>B9/B4</f>
        <v>-2.3531542654801285</v>
      </c>
      <c r="E9" s="6">
        <f>B4/(2048*(D9^3))</f>
        <v>-4.8257022975322E-2</v>
      </c>
      <c r="F9" s="7">
        <f>ABS(C4/D9)</f>
        <v>1.6998460571321088</v>
      </c>
      <c r="G9" s="7">
        <f>ABS((I4+K4+N4+Q4+T4+W4)/(B9-F4))</f>
        <v>1.6716506525943573</v>
      </c>
      <c r="H9" s="8">
        <f>AVERAGE(F9,G9)</f>
        <v>1.685748354863233</v>
      </c>
      <c r="I9" s="8">
        <f>-1*(I4+K4+N4+Q4+T4+W4+F4)/B9</f>
        <v>0.14190364463452176</v>
      </c>
      <c r="J9" s="8">
        <f>ABS(G4/D4)</f>
        <v>1</v>
      </c>
      <c r="K9" s="8">
        <f>J9*(H9-1)/H9</f>
        <v>0.40679165006147594</v>
      </c>
      <c r="L9" s="8">
        <f>-1-2*(1+I9)/(H9^2*(H9-I9))</f>
        <v>-1.5205594701159819</v>
      </c>
      <c r="M9" s="5">
        <v>-1</v>
      </c>
      <c r="N9">
        <f>-1*(((H9+1)/(H9-1))^2)-2*H9*(H9+1)/((H9-I9)*(H9-1)^3)</f>
        <v>-33.527359469746898</v>
      </c>
      <c r="O9" s="1">
        <v>3.504</v>
      </c>
      <c r="P9" s="1">
        <v>7.008</v>
      </c>
      <c r="Q9" s="1">
        <v>10.51</v>
      </c>
      <c r="R9" s="8">
        <f>(-1*($H$9^2+$I$9)*((O9*0.0175/60)*$B$4)^2)/(8*(1+$I$9)*$H$9*$B$4*$C$4)*1000000</f>
        <v>-65.150736710657966</v>
      </c>
      <c r="S9" s="8">
        <f>(-1*($H$9^2+$I$9)*((P9*0.0175/60)*$B$4)^2)/(8*(1+$I$9)*$H$9*$B$4*$C$4)*1000000</f>
        <v>-260.60294684263187</v>
      </c>
      <c r="T9" s="8">
        <f>(-1*($H$9^2+$I$9)*((Q9*0.0175/60)*$B$4)^2)/(8*(1+$I$9)*$H$9*$B$4*$C$4)*1000000</f>
        <v>-586.13353265975127</v>
      </c>
      <c r="U9" s="8">
        <f>(O9*0.0175/60)*$B$4/(48*$C$4^2)*1000000</f>
        <v>1713.6864062500003</v>
      </c>
      <c r="V9" s="8">
        <f>(P9*0.0175/60)*$B$4/(48*$C$4^2)*1000000</f>
        <v>3427.3728125000007</v>
      </c>
      <c r="W9" s="8">
        <f>(Q9*0.0175/60)*$B$4/(48*$C$4^2)*1000000</f>
        <v>5140.0810872395841</v>
      </c>
      <c r="X9" s="12"/>
    </row>
    <row r="10" spans="1:25" ht="32" customHeight="1" x14ac:dyDescent="0.25">
      <c r="A10" s="1"/>
      <c r="R10" s="10" t="s">
        <v>45</v>
      </c>
      <c r="S10" s="10" t="s">
        <v>46</v>
      </c>
      <c r="T10" s="10" t="s">
        <v>47</v>
      </c>
      <c r="U10" s="10" t="s">
        <v>48</v>
      </c>
      <c r="V10" s="10" t="s">
        <v>50</v>
      </c>
      <c r="W10" s="10" t="s">
        <v>49</v>
      </c>
    </row>
    <row r="11" spans="1:25" x14ac:dyDescent="0.2">
      <c r="A11" s="1" t="s">
        <v>41</v>
      </c>
      <c r="R11" s="5">
        <f>R9/SQRT(24)</f>
        <v>-13.298838442293679</v>
      </c>
      <c r="S11" s="5">
        <f>S9/SQRT(24)</f>
        <v>-53.195353769174716</v>
      </c>
      <c r="T11" s="5">
        <f>T9/SQRT(24)</f>
        <v>-119.64400634594415</v>
      </c>
      <c r="U11" s="5">
        <f>U9/32</f>
        <v>53.552700195312511</v>
      </c>
      <c r="V11" s="5">
        <f>V9/32</f>
        <v>107.10540039062502</v>
      </c>
      <c r="W11" s="5">
        <f>W9/32</f>
        <v>160.627533976237</v>
      </c>
    </row>
    <row r="12" spans="1:25" ht="52" customHeight="1" x14ac:dyDescent="0.25">
      <c r="A12" s="9" t="s">
        <v>52</v>
      </c>
      <c r="B12" s="10" t="s">
        <v>53</v>
      </c>
      <c r="C12" s="10" t="s">
        <v>27</v>
      </c>
      <c r="D12" s="10" t="s">
        <v>28</v>
      </c>
      <c r="E12" s="10" t="s">
        <v>35</v>
      </c>
      <c r="F12" s="10" t="s">
        <v>36</v>
      </c>
      <c r="G12" s="10" t="s">
        <v>48</v>
      </c>
      <c r="H12" s="10" t="s">
        <v>50</v>
      </c>
      <c r="I12" s="9" t="s">
        <v>40</v>
      </c>
      <c r="J12" s="9" t="s">
        <v>43</v>
      </c>
      <c r="K12" s="10" t="s">
        <v>45</v>
      </c>
      <c r="L12" s="10" t="s">
        <v>46</v>
      </c>
      <c r="M12" s="10" t="s">
        <v>59</v>
      </c>
      <c r="N12" s="10" t="s">
        <v>60</v>
      </c>
      <c r="O12" s="10" t="s">
        <v>58</v>
      </c>
      <c r="P12" s="9" t="s">
        <v>61</v>
      </c>
      <c r="R12" s="5"/>
      <c r="S12" s="5"/>
      <c r="T12" s="5"/>
      <c r="U12" s="5"/>
      <c r="V12" s="5"/>
      <c r="W12" s="5"/>
    </row>
    <row r="13" spans="1:25" s="1" customFormat="1" x14ac:dyDescent="0.2">
      <c r="A13" s="1" t="s">
        <v>30</v>
      </c>
      <c r="B13" s="1">
        <f>D2/2</f>
        <v>-15278.89</v>
      </c>
      <c r="C13" s="1">
        <v>7.25</v>
      </c>
      <c r="D13" s="1">
        <v>14.5</v>
      </c>
      <c r="E13" s="8">
        <f>(C13*0.0174538/60)*$B$2/(48*($C$2^2))*1000000</f>
        <v>708.65487705498845</v>
      </c>
      <c r="F13" s="8">
        <f>(D13*0.0174538/60)*$B$2/(48*($C$2^2))*1000000</f>
        <v>1417.3097541099769</v>
      </c>
      <c r="G13" s="5">
        <f>E13/SQRT(32)</f>
        <v>125.27366727162536</v>
      </c>
      <c r="H13" s="5">
        <f>F13/SQRT(32)</f>
        <v>250.54733454325071</v>
      </c>
      <c r="I13" s="1">
        <f>($D$2*(C13*0.0174538/60)^2)/(8*$C$2)*1000000</f>
        <v>-1733.6412815662998</v>
      </c>
      <c r="J13" s="1">
        <f>($D$2*(D13*0.0174538/60)^2)/(8*$C$2)*1000000</f>
        <v>-6934.5651262651991</v>
      </c>
      <c r="K13" s="1">
        <f>I13/SQRT(24)</f>
        <v>-353.87804473851128</v>
      </c>
      <c r="L13" s="1">
        <f>J13/SQRT(24)</f>
        <v>-1415.5121789540451</v>
      </c>
      <c r="M13" s="1">
        <f>K13*$O$13</f>
        <v>1.6414007953431176E-5</v>
      </c>
      <c r="N13" s="1">
        <f>L13*$O$13</f>
        <v>6.5656031813724706E-5</v>
      </c>
      <c r="O13" s="1">
        <f>(((6600*0.04995128)^2*(E2*(6600/ABS(D2))^2+(1-6600/ABS(D2))^2))/(0.21598*D2)^2)/D2</f>
        <v>-4.6383233425967043E-8</v>
      </c>
      <c r="P13" s="7">
        <f>(15)^2/(16*ABS(B13)*C2^2)*1000000</f>
        <v>9.5833771474546321</v>
      </c>
    </row>
    <row r="14" spans="1:25" ht="42" customHeight="1" x14ac:dyDescent="0.25">
      <c r="A14" s="2" t="s">
        <v>56</v>
      </c>
      <c r="B14" s="10" t="s">
        <v>53</v>
      </c>
      <c r="C14" s="10" t="s">
        <v>54</v>
      </c>
      <c r="D14" s="10" t="s">
        <v>19</v>
      </c>
      <c r="E14" s="10" t="s">
        <v>20</v>
      </c>
      <c r="F14" s="10" t="s">
        <v>21</v>
      </c>
      <c r="G14" s="10" t="s">
        <v>22</v>
      </c>
      <c r="H14" s="10" t="s">
        <v>23</v>
      </c>
      <c r="I14" s="9" t="s">
        <v>24</v>
      </c>
      <c r="J14" s="10" t="s">
        <v>26</v>
      </c>
      <c r="K14" s="10" t="s">
        <v>25</v>
      </c>
    </row>
    <row r="15" spans="1:25" s="1" customFormat="1" x14ac:dyDescent="0.2">
      <c r="A15" s="1" t="s">
        <v>57</v>
      </c>
      <c r="B15" s="1">
        <f>D5/2</f>
        <v>-2800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Zavala, Robert T (Bob) JR CIV USN NAVOBSYSTA FLG AZ (USA)</dc:creator>
  <cp:lastModifiedBy>Zavala, Robert T (Bob) JR CIV USN NAVOBSYSTA FLG AZ (U</cp:lastModifiedBy>
  <dcterms:created xsi:type="dcterms:W3CDTF">2025-12-05T16:44:40Z</dcterms:created>
  <dcterms:modified xsi:type="dcterms:W3CDTF">2026-01-15T00:13:52Z</dcterms:modified>
</cp:coreProperties>
</file>