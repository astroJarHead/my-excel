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.zavala/Desktop/bobMacBackUp/Optics/Ray tracing/"/>
    </mc:Choice>
  </mc:AlternateContent>
  <xr:revisionPtr revIDLastSave="0" documentId="13_ncr:1_{D209B46D-FCDA-0D41-AC28-4AA0850C78DB}" xr6:coauthVersionLast="47" xr6:coauthVersionMax="47" xr10:uidLastSave="{00000000-0000-0000-0000-000000000000}"/>
  <bookViews>
    <workbookView xWindow="10800" yWindow="6640" windowWidth="47780" windowHeight="16760" activeTab="1" xr2:uid="{9120E6CE-487D-4A4E-A0CB-02EC34448099}"/>
  </bookViews>
  <sheets>
    <sheet name="Dall-Kirkham" sheetId="1" r:id="rId1"/>
    <sheet name="NOFS" sheetId="2" r:id="rId2"/>
    <sheet name="Filipov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2" l="1"/>
  <c r="V11" i="2"/>
  <c r="U11" i="2"/>
  <c r="T11" i="2"/>
  <c r="S11" i="2"/>
  <c r="R11" i="2"/>
  <c r="W9" i="2"/>
  <c r="V9" i="2"/>
  <c r="U9" i="2"/>
  <c r="T9" i="2"/>
  <c r="S9" i="2"/>
  <c r="R9" i="2"/>
  <c r="R7" i="3"/>
  <c r="Q7" i="3"/>
  <c r="P7" i="3"/>
  <c r="O7" i="3"/>
  <c r="N7" i="3"/>
  <c r="K7" i="3"/>
  <c r="J7" i="3"/>
  <c r="G7" i="3"/>
  <c r="D7" i="3"/>
  <c r="F7" i="3" s="1"/>
  <c r="H7" i="3" s="1"/>
  <c r="C7" i="3"/>
  <c r="B7" i="3"/>
  <c r="I7" i="3" s="1"/>
  <c r="N9" i="2"/>
  <c r="J9" i="2"/>
  <c r="I9" i="2"/>
  <c r="G9" i="2"/>
  <c r="C9" i="2"/>
  <c r="B9" i="2"/>
  <c r="V11" i="1"/>
  <c r="V10" i="1"/>
  <c r="V9" i="1"/>
  <c r="V8" i="1"/>
  <c r="U11" i="1"/>
  <c r="U10" i="1"/>
  <c r="U9" i="1"/>
  <c r="U8" i="1"/>
  <c r="R8" i="1"/>
  <c r="S8" i="1" s="1"/>
  <c r="W11" i="1"/>
  <c r="W10" i="1"/>
  <c r="W9" i="1"/>
  <c r="W8" i="1"/>
  <c r="T11" i="1"/>
  <c r="T10" i="1"/>
  <c r="T9" i="1"/>
  <c r="T8" i="1"/>
  <c r="S11" i="1"/>
  <c r="S10" i="1"/>
  <c r="S9" i="1"/>
  <c r="R11" i="1"/>
  <c r="R10" i="1"/>
  <c r="R9" i="1"/>
  <c r="Q11" i="1"/>
  <c r="Q10" i="1"/>
  <c r="Q9" i="1"/>
  <c r="Q8" i="1"/>
  <c r="P11" i="1"/>
  <c r="P10" i="1"/>
  <c r="P9" i="1"/>
  <c r="P8" i="1"/>
  <c r="G11" i="1"/>
  <c r="G10" i="1"/>
  <c r="G9" i="1"/>
  <c r="G8" i="1"/>
  <c r="J11" i="1"/>
  <c r="C11" i="1"/>
  <c r="B11" i="1"/>
  <c r="J10" i="1"/>
  <c r="I10" i="1"/>
  <c r="C10" i="1"/>
  <c r="B10" i="1"/>
  <c r="D10" i="1" s="1"/>
  <c r="J9" i="1"/>
  <c r="I9" i="1"/>
  <c r="C9" i="1"/>
  <c r="B9" i="1"/>
  <c r="D8" i="1"/>
  <c r="J8" i="1"/>
  <c r="I8" i="1"/>
  <c r="H8" i="1"/>
  <c r="F8" i="1"/>
  <c r="E8" i="1"/>
  <c r="C8" i="1"/>
  <c r="B8" i="1"/>
  <c r="E7" i="3" l="1"/>
  <c r="D9" i="2"/>
  <c r="F9" i="2" s="1"/>
  <c r="H9" i="2" s="1"/>
  <c r="L9" i="2" s="1"/>
  <c r="I11" i="1"/>
  <c r="D11" i="1"/>
  <c r="K8" i="1"/>
  <c r="M8" i="1" s="1"/>
  <c r="O8" i="1" s="1"/>
  <c r="L8" i="1"/>
  <c r="N8" i="1" s="1"/>
  <c r="F10" i="1"/>
  <c r="H10" i="1" s="1"/>
  <c r="L10" i="1" s="1"/>
  <c r="E10" i="1"/>
  <c r="D9" i="1"/>
  <c r="K9" i="2" l="1"/>
  <c r="E9" i="2"/>
  <c r="F11" i="1"/>
  <c r="H11" i="1" s="1"/>
  <c r="E11" i="1"/>
  <c r="K10" i="1"/>
  <c r="M10" i="1" s="1"/>
  <c r="O10" i="1" s="1"/>
  <c r="F9" i="1"/>
  <c r="H9" i="1" s="1"/>
  <c r="E9" i="1"/>
  <c r="N10" i="1" l="1"/>
  <c r="L11" i="1"/>
  <c r="K11" i="1"/>
  <c r="M11" i="1" s="1"/>
  <c r="O11" i="1" s="1"/>
  <c r="L9" i="1"/>
  <c r="K9" i="1"/>
  <c r="M9" i="1" s="1"/>
  <c r="O9" i="1" s="1"/>
  <c r="N11" i="1" l="1"/>
  <c r="N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tc={DC6C2B91-7A5F-0A42-90EC-8C858E3ABAE9}</author>
    <author>tc={2713D711-D948-104D-97BC-95D6FB52D09A}</author>
    <author>tc={76332FAF-1148-CC4B-826A-6C142B2B9E84}</author>
    <author>tc={5139DE3C-86E2-1D44-8B56-3499D16FF154}</author>
    <author>tc={3C771A72-6F57-BC41-9928-D80E4CFF2B24}</author>
    <author>tc={9B320D16-4345-F640-925D-85BAD0C5104F}</author>
    <author>tc={C1D08A9C-4AEC-7946-8B79-9CAE047E7E8C}</author>
    <author>tc={C96AA361-83BF-3948-B9C4-90D511578E63}</author>
    <author>tc={2D965984-A915-2F42-8488-E5104428F7D7}</author>
  </authors>
  <commentList>
    <comment ref="Q6" authorId="0" shapeId="0" xr:uid="{DC6C2B91-7A5F-0A42-90EC-8C858E3ABAE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11 micron pixels and 2048 square sCMOS Andor camera. FoV is along diagonal.</t>
      </text>
    </comment>
    <comment ref="T6" authorId="1" shapeId="0" xr:uid="{2713D711-D948-104D-97BC-95D6FB52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11 micron pixels and 2048 square sCMOS Andor camera. FoV is along diagonal.</t>
      </text>
    </comment>
    <comment ref="A7" authorId="2" shapeId="0" xr:uid="{76332FAF-1148-CC4B-826A-6C142B2B9E84}">
      <text>
        <t>[Threaded comment]
Your version of Excel allows you to read this threaded comment; however, any edits to it will get removed if the file is opened in a newer version of Excel. Learn more: https://go.microsoft.com/fwlink/?linkid=870924
Comment:
    Spherical aberration wavefront error peak to valley error for a Dall-Kirkham telescope with K2 = zero.</t>
      </text>
    </comment>
    <comment ref="F7" authorId="3" shapeId="0" xr:uid="{5139DE3C-86E2-1D44-8B56-3499D16FF1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and primary F numbers</t>
      </text>
    </comment>
    <comment ref="G7" authorId="4" shapeId="0" xr:uid="{3C771A72-6F57-BC41-9928-D80E4CFF2B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i-prime and i image distances</t>
      </text>
    </comment>
    <comment ref="L7" authorId="5" shapeId="0" xr:uid="{9B320D16-4345-F640-925D-85BAD0C510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of K1 gives a value of K2 equal to zero to within 0.006 or 6 parts in a thousand for sub-aperture corrector A.</t>
      </text>
    </comment>
    <comment ref="O7" authorId="6" shapeId="0" xr:uid="{C1D08A9C-4AEC-7946-8B79-9CAE047E7E8C}">
      <text>
        <t>[Threaded comment]
Your version of Excel allows you to read this threaded comment; however, any edits to it will get removed if the file is opened in a newer version of Excel. Learn more: https://go.microsoft.com/fwlink/?linkid=870924
Comment:
    Spherical aberration wavefront error peak to valley error for a two-mirror Dall-Kirkham telescope with K2 = zero.</t>
      </text>
    </comment>
    <comment ref="R7" authorId="7" shapeId="0" xr:uid="{C96AA361-83BF-3948-B9C4-90D511578E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position is 5.3097 mm for 1/3 of the way along the diagonal of the 2048 square Andor Marana camera. </t>
      </text>
    </comment>
    <comment ref="U7" authorId="8" shapeId="0" xr:uid="{2D965984-A915-2F42-8488-E5104428F7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position is 10.6205 mm for 2/3 of the way along the diagonal of the 2048 square Andor Marana camera.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tc={F0B50C6E-B471-C840-AFAF-86D29A3A3206}</author>
    <author>tc={CCA9F9D2-3867-8D4C-B412-C3214225D83E}</author>
    <author>tc={B3EE743C-9DC9-9C46-A724-E50D33845875}</author>
    <author>tc={1D03FF7D-1DF4-0243-8510-3D2521588EE3}</author>
    <author>tc={8B232EF6-38AE-8940-9673-E83B3C93B41C}</author>
    <author>tc={14660CF1-6C30-3C48-AECC-3895F8B1520C}</author>
    <author>tc={EA2FF422-D5E7-A544-BFFA-D745CCAE8021}</author>
    <author>tc={0D1CF9BB-F572-C64C-A7BB-3246AECD9042}</author>
    <author>tc={85E3B126-43D6-094E-B8BE-A27C4989E2BE}</author>
    <author>tc={9D1DBCD1-66F9-FC43-A270-B8AA33D3D9BA}</author>
    <author>tc={599CDE9C-DE6D-D24E-B887-9F3C4EE18425}</author>
  </authors>
  <commentList>
    <comment ref="A7" authorId="0" shapeId="0" xr:uid="{F0B50C6E-B471-C840-AFAF-86D29A3A3206}">
      <text>
        <t>[Threaded comment]
Your version of Excel allows you to read this threaded comment; however, any edits to it will get removed if the file is opened in a newer version of Excel. Learn more: https://go.microsoft.com/fwlink/?linkid=870924
Comment:
    Spherical aberration wavefront error peak to valley error for a Dall-Kirkham telescope with K2 = zero.</t>
      </text>
    </comment>
    <comment ref="F7" authorId="1" shapeId="0" xr:uid="{CCA9F9D2-3867-8D4C-B412-C3214225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and primary F numbers</t>
      </text>
    </comment>
    <comment ref="G7" authorId="2" shapeId="0" xr:uid="{B3EE743C-9DC9-9C46-A724-E50D338458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i-prime and i image distances</t>
      </text>
    </comment>
    <comment ref="L7" authorId="3" shapeId="0" xr:uid="{1D03FF7D-1DF4-0243-8510-3D2521588EE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value of K1 using m and eta.</t>
      </text>
    </comment>
    <comment ref="N7" authorId="4" shapeId="0" xr:uid="{8B232EF6-38AE-8940-9673-E83B3C93B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Estimated value of K2 using m for no spherical aberration </t>
      </text>
    </comment>
    <comment ref="R7" authorId="5" shapeId="0" xr:uid="{14660CF1-6C30-3C48-AECC-3895F8B152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error at diffraction focus for astigmatism (telescope-optics.net Eqn.  84.2 Sec. 8.2.2) using as built K1 and K2 from blueprints. Angles are in multiples of 1/3 of the way along the radius of an Andor Marana 2048 sCMOS 11-micron pixel camera. </t>
      </text>
    </comment>
    <comment ref="S7" authorId="6" shapeId="0" xr:uid="{EA2FF422-D5E7-A544-BFFA-D745CCAE80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T7" authorId="7" shapeId="0" xr:uid="{0D1CF9BB-F572-C64C-A7BB-3246AECD90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</text>
    </comment>
    <comment ref="U7" authorId="8" shapeId="0" xr:uid="{85E3B126-43D6-094E-B8BE-A27C4989E2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V7" authorId="9" shapeId="0" xr:uid="{9D1DBCD1-66F9-FC43-A270-B8AA33D3D9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W7" authorId="10" shapeId="0" xr:uid="{599CDE9C-DE6D-D24E-B887-9F3C4EE184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tc={53761471-AC38-3C4C-B4C8-C3F975D0FC32}</author>
    <author>tc={10D2624B-1252-C446-A5EC-29303EB575D0}</author>
    <author>tc={A0A9F1F5-47EF-184F-976B-CA8CB89F182C}</author>
    <author>tc={AF069C37-F58D-684D-8E91-715472D1A0AE}</author>
    <author>tc={767354F5-E9AD-0F4F-9D04-3FEB0C137ED5}</author>
    <author>tc={6F7B81E5-8AE8-C64B-B1AA-14BF9FC662C3}</author>
    <author>tc={309DCF61-2995-7244-A9C7-2DF5015E4B07}</author>
    <author>tc={AB926917-A76F-2945-BA48-156C98E1CFC2}</author>
    <author>tc={C0E4DB1A-D192-0445-96D7-2F595BF55620}</author>
  </authors>
  <commentList>
    <comment ref="A6" authorId="0" shapeId="0" xr:uid="{53761471-AC38-3C4C-B4C8-C3F975D0FC32}">
      <text>
        <t>[Threaded comment]
Your version of Excel allows you to read this threaded comment; however, any edits to it will get removed if the file is opened in a newer version of Excel. Learn more: https://go.microsoft.com/fwlink/?linkid=870924
Comment:
    Spherical aberration wavefront error peak to valley error for a Dall-Kirkham telescope with K2 = zero.</t>
      </text>
    </comment>
    <comment ref="F6" authorId="1" shapeId="0" xr:uid="{10D2624B-1252-C446-A5EC-29303EB575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and primary F numbers</t>
      </text>
    </comment>
    <comment ref="G6" authorId="2" shapeId="0" xr:uid="{A0A9F1F5-47EF-184F-976B-CA8CB89F1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secondary magnification from system i-prime and i image distances</t>
      </text>
    </comment>
    <comment ref="L6" authorId="3" shapeId="0" xr:uid="{AF069C37-F58D-684D-8E91-715472D1A0AE}">
      <text>
        <t>[Threaded comment]
Your version of Excel allows you to read this threaded comment; however, any edits to it will get removed if the file is opened in a newer version of Excel. Learn more: https://go.microsoft.com/fwlink/?linkid=870924
Comment:
    3.75 mm from axis or one=third of the way along as diagonal of a 2048 array of 11-micron pixels.</t>
      </text>
    </comment>
    <comment ref="M6" authorId="4" shapeId="0" xr:uid="{767354F5-E9AD-0F4F-9D04-3FEB0C137ED5}">
      <text>
        <t>[Threaded comment]
Your version of Excel allows you to read this threaded comment; however, any edits to it will get removed if the file is opened in a newer version of Excel. Learn more: https://go.microsoft.com/fwlink/?linkid=870924
Comment:
    5mm from axis which corresponds to this odd choice of angular distance.</t>
      </text>
    </comment>
    <comment ref="N6" authorId="5" shapeId="0" xr:uid="{6F7B81E5-8AE8-C64B-B1AA-14BF9FC662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astigmatism error at diffraction focus (Eqn. 84.2, Sec. 8.2.2, telescope-optics.net) </t>
      </text>
    </comment>
    <comment ref="P6" authorId="6" shapeId="0" xr:uid="{309DCF61-2995-7244-A9C7-2DF5015E4B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telescopeoptics.net) </t>
      </text>
    </comment>
    <comment ref="Q6" authorId="7" shapeId="0" xr:uid="{AB926917-A76F-2945-BA48-156C98E1CF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Wavefront Peak-to-valley Seidel coma error at diffraction focus (Eqn. 84.2, Sec. 8.2.2, telescope-optics.net) </t>
      </text>
    </comment>
    <comment ref="R6" authorId="8" shapeId="0" xr:uid="{C0E4DB1A-D192-0445-96D7-2F595BF55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Peak-to-Valley Spherical aberration wavefront error at diffraction best focus (Eqn. 81 Sec. 8.2.1 telescope-optics.net)</t>
      </text>
    </comment>
  </commentList>
</comments>
</file>

<file path=xl/sharedStrings.xml><?xml version="1.0" encoding="utf-8"?>
<sst xmlns="http://schemas.openxmlformats.org/spreadsheetml/2006/main" count="191" uniqueCount="84">
  <si>
    <t xml:space="preserve">D-K sub-aperture corr. </t>
  </si>
  <si>
    <t>A</t>
  </si>
  <si>
    <t>B</t>
  </si>
  <si>
    <t>C</t>
  </si>
  <si>
    <t>D</t>
  </si>
  <si>
    <t>Diam. (mm)</t>
  </si>
  <si>
    <t>f/</t>
  </si>
  <si>
    <r>
      <t>R</t>
    </r>
    <r>
      <rPr>
        <b/>
        <vertAlign val="subscript"/>
        <sz val="12"/>
        <color theme="1"/>
        <rFont val="Aptos Narrow (Body)"/>
      </rPr>
      <t>1</t>
    </r>
  </si>
  <si>
    <r>
      <rPr>
        <b/>
        <sz val="12"/>
        <color theme="1"/>
        <rFont val="Aptos Narrow (Body)"/>
      </rPr>
      <t>K</t>
    </r>
    <r>
      <rPr>
        <b/>
        <vertAlign val="subscript"/>
        <sz val="12"/>
        <color theme="1"/>
        <rFont val="Aptos Narrow (Body)"/>
      </rPr>
      <t>1</t>
    </r>
  </si>
  <si>
    <r>
      <t>S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- M</t>
    </r>
    <r>
      <rPr>
        <b/>
        <vertAlign val="subscript"/>
        <sz val="12"/>
        <color theme="1"/>
        <rFont val="Aptos Narrow (Body)"/>
      </rPr>
      <t>1</t>
    </r>
  </si>
  <si>
    <r>
      <t>R</t>
    </r>
    <r>
      <rPr>
        <b/>
        <vertAlign val="subscript"/>
        <sz val="12"/>
        <color theme="1"/>
        <rFont val="Aptos Narrow (Body)"/>
      </rPr>
      <t>2</t>
    </r>
  </si>
  <si>
    <r>
      <t>K</t>
    </r>
    <r>
      <rPr>
        <b/>
        <vertAlign val="subscript"/>
        <sz val="12"/>
        <color theme="1"/>
        <rFont val="Aptos Narrow (Body)"/>
      </rPr>
      <t>2</t>
    </r>
  </si>
  <si>
    <r>
      <t>S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- M</t>
    </r>
    <r>
      <rPr>
        <b/>
        <vertAlign val="subscript"/>
        <sz val="12"/>
        <color theme="1"/>
        <rFont val="Aptos Narrow (Body)"/>
      </rPr>
      <t>2</t>
    </r>
  </si>
  <si>
    <r>
      <t>R</t>
    </r>
    <r>
      <rPr>
        <b/>
        <vertAlign val="subscript"/>
        <sz val="12"/>
        <color theme="1"/>
        <rFont val="Aptos Narrow (Body)"/>
      </rPr>
      <t>3</t>
    </r>
  </si>
  <si>
    <r>
      <t>S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3</t>
    </r>
  </si>
  <si>
    <r>
      <t>R</t>
    </r>
    <r>
      <rPr>
        <b/>
        <vertAlign val="subscript"/>
        <sz val="12"/>
        <color theme="1"/>
        <rFont val="Aptos Narrow (Body)"/>
      </rPr>
      <t>4</t>
    </r>
  </si>
  <si>
    <r>
      <t>S</t>
    </r>
    <r>
      <rPr>
        <b/>
        <vertAlign val="subscript"/>
        <sz val="12"/>
        <color theme="1"/>
        <rFont val="Aptos Narrow (Body)"/>
      </rPr>
      <t>4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4</t>
    </r>
  </si>
  <si>
    <r>
      <t>R</t>
    </r>
    <r>
      <rPr>
        <b/>
        <vertAlign val="subscript"/>
        <sz val="12"/>
        <color theme="1"/>
        <rFont val="Aptos Narrow (Body)"/>
      </rPr>
      <t>5</t>
    </r>
  </si>
  <si>
    <r>
      <t>S</t>
    </r>
    <r>
      <rPr>
        <b/>
        <vertAlign val="subscript"/>
        <sz val="12"/>
        <color theme="1"/>
        <rFont val="Aptos Narrow (Body)"/>
      </rPr>
      <t>5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5</t>
    </r>
  </si>
  <si>
    <r>
      <t>R</t>
    </r>
    <r>
      <rPr>
        <b/>
        <vertAlign val="subscript"/>
        <sz val="12"/>
        <color theme="1"/>
        <rFont val="Aptos Narrow (Body)"/>
      </rPr>
      <t>6</t>
    </r>
  </si>
  <si>
    <r>
      <t>S</t>
    </r>
    <r>
      <rPr>
        <b/>
        <vertAlign val="subscript"/>
        <sz val="12"/>
        <color theme="1"/>
        <rFont val="Aptos Narrow (Body)"/>
      </rPr>
      <t>6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6</t>
    </r>
  </si>
  <si>
    <r>
      <t>R</t>
    </r>
    <r>
      <rPr>
        <b/>
        <vertAlign val="subscript"/>
        <sz val="12"/>
        <color theme="1"/>
        <rFont val="Aptos Narrow (Body)"/>
      </rPr>
      <t>7</t>
    </r>
  </si>
  <si>
    <r>
      <t>S</t>
    </r>
    <r>
      <rPr>
        <b/>
        <vertAlign val="subscript"/>
        <sz val="12"/>
        <color theme="1"/>
        <rFont val="Aptos Narrow (Body)"/>
      </rPr>
      <t>7</t>
    </r>
    <r>
      <rPr>
        <b/>
        <sz val="12"/>
        <color theme="1"/>
        <rFont val="Aptos Narrow"/>
        <scheme val="minor"/>
      </rPr>
      <t>- M</t>
    </r>
    <r>
      <rPr>
        <b/>
        <vertAlign val="subscript"/>
        <sz val="12"/>
        <color theme="1"/>
        <rFont val="Aptos Narrow (Body)"/>
      </rPr>
      <t>7</t>
    </r>
  </si>
  <si>
    <r>
      <t>R</t>
    </r>
    <r>
      <rPr>
        <b/>
        <vertAlign val="subscript"/>
        <sz val="12"/>
        <color theme="1"/>
        <rFont val="Aptos Narrow (Body)"/>
      </rPr>
      <t>I</t>
    </r>
  </si>
  <si>
    <t>---</t>
  </si>
  <si>
    <t>Glass</t>
  </si>
  <si>
    <t>BK7</t>
  </si>
  <si>
    <r>
      <t>f</t>
    </r>
    <r>
      <rPr>
        <b/>
        <vertAlign val="subscript"/>
        <sz val="12"/>
        <color theme="1"/>
        <rFont val="Aptos Narrow (Body)"/>
      </rPr>
      <t>1</t>
    </r>
  </si>
  <si>
    <r>
      <t>f</t>
    </r>
    <r>
      <rPr>
        <b/>
        <vertAlign val="subscript"/>
        <sz val="12"/>
        <color theme="1"/>
        <rFont val="Aptos Narrow (Body)"/>
      </rPr>
      <t>2</t>
    </r>
  </si>
  <si>
    <r>
      <t>F</t>
    </r>
    <r>
      <rPr>
        <b/>
        <vertAlign val="subscript"/>
        <sz val="12"/>
        <color theme="1"/>
        <rFont val="Aptos Narrow (Body)"/>
      </rPr>
      <t>1</t>
    </r>
  </si>
  <si>
    <t>Factor (mm)</t>
  </si>
  <si>
    <r>
      <t>m</t>
    </r>
    <r>
      <rPr>
        <b/>
        <vertAlign val="subscript"/>
        <sz val="12"/>
        <color theme="1"/>
        <rFont val="Aptos Narrow (Body)"/>
      </rPr>
      <t>F</t>
    </r>
  </si>
  <si>
    <r>
      <t>m</t>
    </r>
    <r>
      <rPr>
        <b/>
        <vertAlign val="subscript"/>
        <sz val="12"/>
        <color theme="1"/>
        <rFont val="Aptos Narrow (Body)"/>
      </rPr>
      <t>i</t>
    </r>
  </si>
  <si>
    <t>m(avg)</t>
  </si>
  <si>
    <t>η</t>
  </si>
  <si>
    <t>k</t>
  </si>
  <si>
    <t>ρ</t>
  </si>
  <si>
    <t>Check K1</t>
  </si>
  <si>
    <t>Coefficient K1 as  built</t>
  </si>
  <si>
    <t>Coefficient using check K1</t>
  </si>
  <si>
    <r>
      <t>W</t>
    </r>
    <r>
      <rPr>
        <b/>
        <vertAlign val="subscript"/>
        <sz val="12"/>
        <color theme="1"/>
        <rFont val="Aptos Narrow (Body)"/>
      </rPr>
      <t>S</t>
    </r>
    <r>
      <rPr>
        <b/>
        <sz val="12"/>
        <color theme="1"/>
        <rFont val="Aptos Narrow"/>
        <scheme val="minor"/>
      </rPr>
      <t xml:space="preserve"> P-V error with as built K1 (nm)</t>
    </r>
  </si>
  <si>
    <t>BK6</t>
  </si>
  <si>
    <r>
      <t>W</t>
    </r>
    <r>
      <rPr>
        <b/>
        <vertAlign val="subscript"/>
        <sz val="12"/>
        <color theme="1"/>
        <rFont val="Aptos Narrow (Body)"/>
      </rPr>
      <t>S</t>
    </r>
    <r>
      <rPr>
        <b/>
        <sz val="12"/>
        <color theme="1"/>
        <rFont val="Aptos Narrow"/>
        <family val="2"/>
        <scheme val="minor"/>
      </rPr>
      <t xml:space="preserve"> rms error (nm)</t>
    </r>
  </si>
  <si>
    <t>Coma @ 1/3 of FOV</t>
  </si>
  <si>
    <t>Coma @ 2/3 of FOV</t>
  </si>
  <si>
    <r>
      <t>c</t>
    </r>
    <r>
      <rPr>
        <b/>
        <vertAlign val="subscript"/>
        <sz val="12"/>
        <color theme="1"/>
        <rFont val="Aptos Narrow (Body)"/>
      </rPr>
      <t>s</t>
    </r>
    <r>
      <rPr>
        <b/>
        <sz val="12"/>
        <color theme="1"/>
        <rFont val="Aptos Narrow"/>
        <family val="2"/>
        <scheme val="minor"/>
      </rPr>
      <t xml:space="preserve"> (mm</t>
    </r>
    <r>
      <rPr>
        <b/>
        <vertAlign val="superscript"/>
        <sz val="12"/>
        <color theme="1"/>
        <rFont val="Aptos Narrow (Body)"/>
      </rPr>
      <t>-2</t>
    </r>
    <r>
      <rPr>
        <b/>
        <sz val="12"/>
        <color theme="1"/>
        <rFont val="Aptos Narrow"/>
        <family val="2"/>
        <scheme val="minor"/>
      </rPr>
      <t>)</t>
    </r>
  </si>
  <si>
    <r>
      <t>W</t>
    </r>
    <r>
      <rPr>
        <b/>
        <vertAlign val="subscript"/>
        <sz val="12"/>
        <color theme="1"/>
        <rFont val="Aptos Narrow (Body)"/>
      </rPr>
      <t>c1</t>
    </r>
    <r>
      <rPr>
        <b/>
        <sz val="12"/>
        <color theme="1"/>
        <rFont val="Aptos Narrow"/>
        <family val="2"/>
        <scheme val="minor"/>
      </rPr>
      <t xml:space="preserve"> (rms) (nm)</t>
    </r>
  </si>
  <si>
    <r>
      <t>W</t>
    </r>
    <r>
      <rPr>
        <b/>
        <vertAlign val="subscript"/>
        <sz val="12"/>
        <color theme="1"/>
        <rFont val="Aptos Narrow (Body)"/>
      </rPr>
      <t>c1</t>
    </r>
    <r>
      <rPr>
        <b/>
        <sz val="12"/>
        <color theme="1"/>
        <rFont val="Aptos Narrow"/>
        <family val="2"/>
        <scheme val="minor"/>
      </rPr>
      <t xml:space="preserve"> (mm)</t>
    </r>
  </si>
  <si>
    <r>
      <t>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</si>
  <si>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t>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(arcmin)</t>
    </r>
  </si>
  <si>
    <t>Big 3</t>
  </si>
  <si>
    <t>61-inch</t>
  </si>
  <si>
    <t>40-inch</t>
  </si>
  <si>
    <t>1.3 m</t>
  </si>
  <si>
    <t>Wx P-V error check</t>
  </si>
  <si>
    <r>
      <t>W</t>
    </r>
    <r>
      <rPr>
        <b/>
        <vertAlign val="subscript"/>
        <sz val="12"/>
        <color theme="1"/>
        <rFont val="Aptos Narrow (Body)"/>
      </rPr>
      <t>c2</t>
    </r>
    <r>
      <rPr>
        <b/>
        <sz val="12"/>
        <color theme="1"/>
        <rFont val="Aptos Narrow"/>
        <family val="2"/>
        <scheme val="minor"/>
      </rPr>
      <t xml:space="preserve"> (mm)</t>
    </r>
  </si>
  <si>
    <r>
      <t>W</t>
    </r>
    <r>
      <rPr>
        <b/>
        <vertAlign val="subscript"/>
        <sz val="12"/>
        <color theme="1"/>
        <rFont val="Aptos Narrow (Body)"/>
      </rPr>
      <t>c2</t>
    </r>
    <r>
      <rPr>
        <b/>
        <sz val="12"/>
        <color theme="1"/>
        <rFont val="Aptos Narrow"/>
        <family val="2"/>
        <scheme val="minor"/>
      </rPr>
      <t xml:space="preserve"> (rms) (nm)</t>
    </r>
  </si>
  <si>
    <t>BK7(?)</t>
  </si>
  <si>
    <t>Aplanat W P-V error check</t>
  </si>
  <si>
    <t>K1 = -1</t>
  </si>
  <si>
    <t>What</t>
  </si>
  <si>
    <t>R-C w/out corr.</t>
  </si>
  <si>
    <t>R-C w/ corr.</t>
  </si>
  <si>
    <r>
      <t>Field angle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</si>
  <si>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t>Field angle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</si>
  <si>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AS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</si>
  <si>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AS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</si>
  <si>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</si>
  <si>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</si>
  <si>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t>W</t>
    </r>
    <r>
      <rPr>
        <b/>
        <vertAlign val="subscript"/>
        <sz val="12"/>
        <color theme="1"/>
        <rFont val="Aptos Narrow (Body)"/>
      </rPr>
      <t xml:space="preserve">SA </t>
    </r>
    <r>
      <rPr>
        <b/>
        <sz val="12"/>
        <color theme="1"/>
        <rFont val="Aptos Narrow (Body)"/>
      </rPr>
      <t>(nm)</t>
    </r>
  </si>
  <si>
    <t>Estimated value of K1</t>
  </si>
  <si>
    <t xml:space="preserve"> Estimated value of K2</t>
  </si>
  <si>
    <r>
      <t>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(arcmin)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</si>
  <si>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(nm)</t>
    </r>
  </si>
  <si>
    <t>1.3 m w/out corr.</t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</si>
  <si>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P-V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 Field angle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</si>
  <si>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(nm)</t>
    </r>
  </si>
  <si>
    <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P-V error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</si>
  <si>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</si>
  <si>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</si>
  <si>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AS</t>
    </r>
    <r>
      <rPr>
        <b/>
        <sz val="12"/>
        <color theme="1"/>
        <rFont val="Aptos Narrow"/>
        <scheme val="minor"/>
      </rPr>
      <t xml:space="preserve"> rms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scheme val="minor"/>
      </rPr>
      <t xml:space="preserve"> (nm) 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</si>
  <si>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1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</si>
  <si>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 xml:space="preserve">C </t>
    </r>
    <r>
      <rPr>
        <b/>
        <sz val="12"/>
        <color theme="1"/>
        <rFont val="Aptos Narrow (Body)"/>
      </rPr>
      <t>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3</t>
    </r>
    <r>
      <rPr>
        <b/>
        <sz val="12"/>
        <color theme="1"/>
        <rFont val="Aptos Narrow"/>
        <family val="2"/>
        <scheme val="minor"/>
      </rPr>
      <t xml:space="preserve"> (nm)</t>
    </r>
  </si>
  <si>
    <r>
      <rPr>
        <b/>
        <sz val="12"/>
        <color theme="1"/>
        <rFont val="Aptos Narrow"/>
        <scheme val="minor"/>
      </rPr>
      <t>W</t>
    </r>
    <r>
      <rPr>
        <b/>
        <vertAlign val="subscript"/>
        <sz val="12"/>
        <color theme="1"/>
        <rFont val="Aptos Narrow (Body)"/>
      </rPr>
      <t>C</t>
    </r>
    <r>
      <rPr>
        <b/>
        <sz val="12"/>
        <color theme="1"/>
        <rFont val="Aptos Narrow (Body)"/>
      </rPr>
      <t xml:space="preserve"> rms</t>
    </r>
    <r>
      <rPr>
        <b/>
        <vertAlign val="subscript"/>
        <sz val="12"/>
        <color theme="1"/>
        <rFont val="Aptos Narrow (Body)"/>
      </rPr>
      <t xml:space="preserve"> </t>
    </r>
    <r>
      <rPr>
        <b/>
        <sz val="12"/>
        <color theme="1"/>
        <rFont val="Aptos Narrow (Body)"/>
      </rPr>
      <t>at</t>
    </r>
    <r>
      <rPr>
        <b/>
        <sz val="12"/>
        <color theme="1"/>
        <rFont val="Aptos Narrow"/>
        <family val="2"/>
        <scheme val="minor"/>
      </rPr>
      <t xml:space="preserve"> α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 xml:space="preserve"> (nm)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</si>
</sst>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E+00"/>
    <numFmt numFmtId="165" formatCode="0.000"/>
    <numFmt numFmtId="166" formatCode="0.0000"/>
    <numFmt numFmtId="167" formatCode="0.0"/>
    <numFmt numFmtId="168" formatCode="0.0000E+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vertAlign val="subscript"/>
      <sz val="12"/>
      <color theme="1"/>
      <name val="Aptos Narrow (Body)"/>
    </font>
    <font>
      <b/>
      <sz val="12"/>
      <color theme="1"/>
      <name val="Aptos Narrow (Body)"/>
    </font>
    <font>
      <b/>
      <vertAlign val="super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7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 wrapText="1"/>
    </xf>
    <xf numFmtId="1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vala, Robert T (Bob) JR CIV USN NAVOBSYSTA FLG AZ (USA)" id="{8C851638-141B-034A-B4A3-8E6355A961FE}" userId="S::robert.t.zavala.civ@us.navy.mil::0e525848-4c34-445f-9460-d81d21eb6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5-12-15T19:11:14.87" personId="{8C851638-141B-034A-B4A3-8E6355A961FE}" id="{DC6C2B91-7A5F-0A42-90EC-8C858E3ABAE9}">
    <text>Assume 11 micron pixels and 2048 square sCMOS Andor camera. FoV is along diagonal.</text>
  </threadedComment>
  <threadedComment ref="T6" dT="2025-12-15T19:11:14.87" personId="{8C851638-141B-034A-B4A3-8E6355A961FE}" id="{2713D711-D948-104D-97BC-95D6FB52D09A}">
    <text>Assume 11 micron pixels and 2048 square sCMOS Andor camera. FoV is along diagonal.</text>
  </threadedComment>
  <threadedComment ref="A7" dT="2025-12-05T19:04:58.22" personId="{8C851638-141B-034A-B4A3-8E6355A961FE}" id="{76332FAF-1148-CC4B-826A-6C142B2B9E84}">
    <text>Spherical aberration wavefront error peak to valley error for a Dall-Kirkham telescope with K2 = zero.</text>
  </threadedComment>
  <threadedComment ref="F7" dT="2025-12-05T18:56:25.76" personId="{8C851638-141B-034A-B4A3-8E6355A961FE}" id="{5139DE3C-86E2-1D44-8B56-3499D16FF154}">
    <text>relative secondary magnification from system and primary F numbers</text>
  </threadedComment>
  <threadedComment ref="G7" dT="2025-12-05T18:56:25.76" personId="{8C851638-141B-034A-B4A3-8E6355A961FE}" id="{3C771A72-6F57-BC41-9928-D80E4CFF2B24}">
    <text>relative secondary magnification from system i-prime and i image distances</text>
  </threadedComment>
  <threadedComment ref="L7" dT="2025-12-05T22:28:03.70" personId="{8C851638-141B-034A-B4A3-8E6355A961FE}" id="{9B320D16-4345-F640-925D-85BAD0C5104F}">
    <text>This value of K1 gives a value of K2 equal to zero to within 0.006 or 6 parts in a thousand for sub-aperture corrector A.</text>
  </threadedComment>
  <threadedComment ref="O7" dT="2025-12-05T19:04:58.22" personId="{8C851638-141B-034A-B4A3-8E6355A961FE}" id="{C1D08A9C-4AEC-7946-8B79-9CAE047E7E8C}">
    <text>Spherical aberration wavefront error peak to valley error for a two-mirror Dall-Kirkham telescope with K2 = zero.</text>
  </threadedComment>
  <threadedComment ref="R7" dT="2025-12-17T18:57:00.34" personId="{8C851638-141B-034A-B4A3-8E6355A961FE}" id="{C96AA361-83BF-3948-B9C4-90D511578E63}">
    <text xml:space="preserve">Physical position is 5.3097 mm for 1/3 of the way along the diagonal of the 2048 square Andor Marana camera. </text>
  </threadedComment>
  <threadedComment ref="U7" dT="2025-12-17T18:57:30.91" personId="{8C851638-141B-034A-B4A3-8E6355A961FE}" id="{2D965984-A915-2F42-8488-E5104428F7D7}">
    <text xml:space="preserve">Physical position is 10.6205 mm for 2/3 of the way along the diagonal of the 2048 square Andor Marana camera.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" dT="2025-12-05T19:04:58.22" personId="{8C851638-141B-034A-B4A3-8E6355A961FE}" id="{F0B50C6E-B471-C840-AFAF-86D29A3A3206}">
    <text>Spherical aberration wavefront error peak to valley error for a Dall-Kirkham telescope with K2 = zero.</text>
  </threadedComment>
  <threadedComment ref="F7" dT="2025-12-05T18:56:25.76" personId="{8C851638-141B-034A-B4A3-8E6355A961FE}" id="{CCA9F9D2-3867-8D4C-B412-C3214225D83E}">
    <text>relative secondary magnification from system and primary F numbers</text>
  </threadedComment>
  <threadedComment ref="G7" dT="2025-12-05T18:56:25.76" personId="{8C851638-141B-034A-B4A3-8E6355A961FE}" id="{B3EE743C-9DC9-9C46-A724-E50D33845875}">
    <text>relative secondary magnification from system i-prime and i image distances</text>
  </threadedComment>
  <threadedComment ref="L7" dT="2025-12-05T22:28:03.70" personId="{8C851638-141B-034A-B4A3-8E6355A961FE}" id="{1D03FF7D-1DF4-0243-8510-3D2521588EE3}">
    <text>Estimated value of K1 using m and eta.</text>
  </threadedComment>
  <threadedComment ref="N7" dT="2025-12-30T17:00:44.79" personId="{8C851638-141B-034A-B4A3-8E6355A961FE}" id="{8B232EF6-38AE-8940-9673-E83B3C93B41C}">
    <text xml:space="preserve">Estimated value of K2 using m for no spherical aberration </text>
  </threadedComment>
  <threadedComment ref="R7" dT="2025-12-05T19:04:58.22" personId="{8C851638-141B-034A-B4A3-8E6355A961FE}" id="{14660CF1-6C30-3C48-AECC-3895F8B1520C}">
    <text xml:space="preserve">Wavefront Peak-to-valley error at diffraction focus for astigmatism (telescope-optics.net Eqn.  84.2 Sec. 8.2.2) using as built K1 and K2 from blueprints. Angles are in multiples of 1/3 of the way along the radius of an Andor Marana 2048 sCMOS 11-micron pixel camera. </text>
  </threadedComment>
  <threadedComment ref="S7" dT="2025-12-05T19:04:58.22" personId="{8C851638-141B-034A-B4A3-8E6355A961FE}" id="{EA2FF422-D5E7-A544-BFFA-D745CCAE8021}">
    <text/>
  </threadedComment>
  <threadedComment ref="T7" dT="2025-12-05T19:04:58.22" personId="{8C851638-141B-034A-B4A3-8E6355A961FE}" id="{0D1CF9BB-F572-C64C-A7BB-3246AECD9042}">
    <text/>
  </threadedComment>
  <threadedComment ref="U7" dT="2025-12-30T00:18:39.75" personId="{8C851638-141B-034A-B4A3-8E6355A961FE}" id="{85E3B126-43D6-094E-B8BE-A27C4989E2BE}">
    <text xml:space="preserve">Wavefront Peak-to-valley Seidel coma error at diffraction focus (Eqn. 84.2, telescopeoptics.net) </text>
  </threadedComment>
  <threadedComment ref="V7" dT="2025-12-30T00:18:39.75" personId="{8C851638-141B-034A-B4A3-8E6355A961FE}" id="{9D1DBCD1-66F9-FC43-A270-B8AA33D3D9BA}">
    <text xml:space="preserve">Wavefront Peak-to-valley Seidel coma error at diffraction focus (Eqn. 84.2, telescopeoptics.net) </text>
  </threadedComment>
  <threadedComment ref="W7" dT="2025-12-30T00:18:39.75" personId="{8C851638-141B-034A-B4A3-8E6355A961FE}" id="{599CDE9C-DE6D-D24E-B887-9F3C4EE18425}">
    <text xml:space="preserve">Wavefront Peak-to-valley Seidel coma error at diffraction focus (Eqn. 84.2, telescopeoptics.net)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6" dT="2025-12-05T19:04:58.22" personId="{8C851638-141B-034A-B4A3-8E6355A961FE}" id="{53761471-AC38-3C4C-B4C8-C3F975D0FC32}">
    <text>Spherical aberration wavefront error peak to valley error for a Dall-Kirkham telescope with K2 = zero.</text>
  </threadedComment>
  <threadedComment ref="F6" dT="2025-12-05T18:56:25.76" personId="{8C851638-141B-034A-B4A3-8E6355A961FE}" id="{10D2624B-1252-C446-A5EC-29303EB575D0}">
    <text>relative secondary magnification from system and primary F numbers</text>
  </threadedComment>
  <threadedComment ref="G6" dT="2025-12-05T18:56:25.76" personId="{8C851638-141B-034A-B4A3-8E6355A961FE}" id="{A0A9F1F5-47EF-184F-976B-CA8CB89F182C}">
    <text>relative secondary magnification from system i-prime and i image distances</text>
  </threadedComment>
  <threadedComment ref="L6" dT="2025-12-29T23:54:44.48" personId="{8C851638-141B-034A-B4A3-8E6355A961FE}" id="{AF069C37-F58D-684D-8E91-715472D1A0AE}">
    <text>3.75 mm from axis or one=third of the way along as diagonal of a 2048 array of 11-micron pixels.</text>
  </threadedComment>
  <threadedComment ref="M6" dT="2025-12-29T23:54:07.92" personId="{8C851638-141B-034A-B4A3-8E6355A961FE}" id="{767354F5-E9AD-0F4F-9D04-3FEB0C137ED5}">
    <text>5mm from axis which corresponds to this odd choice of angular distance.</text>
  </threadedComment>
  <threadedComment ref="N6" dT="2025-12-30T00:18:39.75" personId="{8C851638-141B-034A-B4A3-8E6355A961FE}" id="{6F7B81E5-8AE8-C64B-B1AA-14BF9FC662C3}">
    <text xml:space="preserve">Wavefront Peak-to-valley Seidel astigmatism error at diffraction focus (Eqn. 84.2, Sec. 8.2.2, telescope-optics.net) </text>
  </threadedComment>
  <threadedComment ref="P6" dT="2025-12-30T00:18:39.75" personId="{8C851638-141B-034A-B4A3-8E6355A961FE}" id="{309DCF61-2995-7244-A9C7-2DF5015E4B07}">
    <text xml:space="preserve">Wavefront Peak-to-valley Seidel coma error at diffraction focus (Eqn. 84.2, telescopeoptics.net) </text>
  </threadedComment>
  <threadedComment ref="Q6" dT="2025-12-30T00:18:39.75" personId="{8C851638-141B-034A-B4A3-8E6355A961FE}" id="{AB926917-A76F-2945-BA48-156C98E1CFC2}">
    <text xml:space="preserve">Wavefront Peak-to-valley Seidel coma error at diffraction focus (Eqn. 84.2, Sec. 8.2.2, telescope-optics.net) </text>
  </threadedComment>
  <threadedComment ref="R6" dT="2025-12-30T16:30:07.11" personId="{8C851638-141B-034A-B4A3-8E6355A961FE}" id="{C0E4DB1A-D192-0445-96D7-2F595BF55620}">
    <text>Peak-to-Valley Spherical aberration wavefront error at diffraction best focus (Eqn. 81 Sec. 8.2.1 telescope-optics.net)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849A-2A88-104D-9108-372B7B98600A}">
  <dimension ref="A1:Y11"/>
  <sheetViews>
    <sheetView zoomScale="130" zoomScaleNormal="130" workbookViewId="0">
      <selection activeCell="A7" sqref="A7"/>
    </sheetView>
  </sheetViews>
  <sheetFormatPr baseColWidth="10" defaultRowHeight="16" x14ac:dyDescent="0.2"/>
  <cols>
    <col min="1" max="1" width="20.6640625" style="1" customWidth="1"/>
    <col min="2" max="2" width="12.5" style="1" customWidth="1"/>
    <col min="3" max="3" width="8.6640625" style="1" customWidth="1"/>
    <col min="4" max="4" width="8.33203125" style="1" customWidth="1"/>
    <col min="5" max="5" width="12" customWidth="1"/>
    <col min="6" max="6" width="9.5" customWidth="1"/>
    <col min="7" max="7" width="8.33203125" customWidth="1"/>
    <col min="8" max="8" width="7.6640625" customWidth="1"/>
    <col min="9" max="9" width="11.33203125" customWidth="1"/>
    <col min="10" max="10" width="7.83203125" customWidth="1"/>
    <col min="11" max="11" width="7.5" customWidth="1"/>
    <col min="12" max="12" width="9" customWidth="1"/>
    <col min="13" max="13" width="16.5" customWidth="1"/>
    <col min="14" max="14" width="14.83203125" customWidth="1"/>
    <col min="15" max="15" width="17" style="1" customWidth="1"/>
    <col min="17" max="17" width="12.1640625" bestFit="1" customWidth="1"/>
    <col min="21" max="21" width="10.83203125" style="1"/>
    <col min="24" max="25" width="10.83203125" style="1"/>
  </cols>
  <sheetData>
    <row r="1" spans="1:25" s="2" customFormat="1" ht="18" x14ac:dyDescent="0.25">
      <c r="A1" s="2" t="s">
        <v>0</v>
      </c>
      <c r="B1" s="2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2" t="s">
        <v>10</v>
      </c>
      <c r="H1" s="4" t="s">
        <v>11</v>
      </c>
      <c r="I1" s="2" t="s">
        <v>12</v>
      </c>
      <c r="J1" s="2" t="s">
        <v>13</v>
      </c>
      <c r="K1" s="2" t="s">
        <v>14</v>
      </c>
      <c r="L1" s="2" t="s">
        <v>25</v>
      </c>
      <c r="M1" s="2" t="s">
        <v>15</v>
      </c>
      <c r="N1" s="2" t="s">
        <v>16</v>
      </c>
      <c r="O1" s="2" t="s">
        <v>25</v>
      </c>
      <c r="P1" s="2" t="s">
        <v>17</v>
      </c>
      <c r="Q1" s="2" t="s">
        <v>18</v>
      </c>
      <c r="R1" s="2" t="s">
        <v>25</v>
      </c>
      <c r="S1" s="2" t="s">
        <v>19</v>
      </c>
      <c r="T1" s="2" t="s">
        <v>20</v>
      </c>
      <c r="U1" s="2" t="s">
        <v>25</v>
      </c>
      <c r="V1" s="2" t="s">
        <v>21</v>
      </c>
      <c r="W1" s="2" t="s">
        <v>22</v>
      </c>
      <c r="X1" s="2" t="s">
        <v>25</v>
      </c>
      <c r="Y1" s="2" t="s">
        <v>23</v>
      </c>
    </row>
    <row r="2" spans="1:25" s="1" customFormat="1" x14ac:dyDescent="0.2">
      <c r="A2" s="1" t="s">
        <v>1</v>
      </c>
      <c r="B2" s="1">
        <v>300</v>
      </c>
      <c r="C2" s="1">
        <v>8</v>
      </c>
      <c r="D2" s="1">
        <v>-2168</v>
      </c>
      <c r="E2" s="1">
        <v>-0.81</v>
      </c>
      <c r="F2" s="1">
        <v>-682.4</v>
      </c>
      <c r="G2" s="1">
        <v>-1464</v>
      </c>
      <c r="H2" s="1">
        <v>0</v>
      </c>
      <c r="I2" s="1">
        <v>524.6</v>
      </c>
      <c r="J2" s="1">
        <v>0</v>
      </c>
      <c r="K2" s="1">
        <v>4</v>
      </c>
      <c r="L2" s="1" t="s">
        <v>26</v>
      </c>
      <c r="M2" s="1">
        <v>258</v>
      </c>
      <c r="N2" s="1">
        <v>3.1</v>
      </c>
      <c r="O2" s="1" t="s">
        <v>1</v>
      </c>
      <c r="P2" s="1">
        <v>0</v>
      </c>
      <c r="Q2" s="1">
        <v>5</v>
      </c>
      <c r="R2" s="1" t="s">
        <v>26</v>
      </c>
      <c r="S2" s="1">
        <v>-258</v>
      </c>
      <c r="T2" s="1">
        <v>362</v>
      </c>
      <c r="U2" s="1" t="s">
        <v>1</v>
      </c>
      <c r="V2" s="5" t="s">
        <v>24</v>
      </c>
      <c r="W2" s="5">
        <v>0</v>
      </c>
      <c r="X2" s="5" t="s">
        <v>24</v>
      </c>
      <c r="Y2" s="1">
        <v>0</v>
      </c>
    </row>
    <row r="3" spans="1:25" x14ac:dyDescent="0.2">
      <c r="A3" s="1" t="s">
        <v>2</v>
      </c>
      <c r="B3" s="1">
        <v>300</v>
      </c>
      <c r="C3" s="1">
        <v>7.6</v>
      </c>
      <c r="D3" s="1">
        <v>-2130</v>
      </c>
      <c r="E3" s="1">
        <v>-0.69</v>
      </c>
      <c r="F3" s="1">
        <v>-658</v>
      </c>
      <c r="G3" s="1">
        <v>-1546</v>
      </c>
      <c r="H3" s="1">
        <v>0</v>
      </c>
      <c r="I3" s="1">
        <v>639</v>
      </c>
      <c r="J3" s="1">
        <v>-117</v>
      </c>
      <c r="K3" s="1">
        <v>7</v>
      </c>
      <c r="L3" s="1" t="s">
        <v>26</v>
      </c>
      <c r="M3" s="1">
        <v>88</v>
      </c>
      <c r="N3" s="1">
        <v>11</v>
      </c>
      <c r="O3" s="1" t="s">
        <v>1</v>
      </c>
      <c r="P3" s="1">
        <v>-193</v>
      </c>
      <c r="Q3" s="1">
        <v>6</v>
      </c>
      <c r="R3" s="1" t="s">
        <v>26</v>
      </c>
      <c r="S3" s="1">
        <v>-131</v>
      </c>
      <c r="T3" s="1">
        <v>205.3</v>
      </c>
      <c r="U3" s="1" t="s">
        <v>1</v>
      </c>
      <c r="V3" s="5" t="s">
        <v>24</v>
      </c>
      <c r="W3" s="5">
        <v>0</v>
      </c>
      <c r="X3" s="5" t="s">
        <v>24</v>
      </c>
      <c r="Y3" s="1">
        <v>0</v>
      </c>
    </row>
    <row r="4" spans="1:25" x14ac:dyDescent="0.2">
      <c r="A4" s="1" t="s">
        <v>3</v>
      </c>
      <c r="B4" s="1">
        <v>300</v>
      </c>
      <c r="C4" s="1">
        <v>8</v>
      </c>
      <c r="D4" s="1">
        <v>-2880</v>
      </c>
      <c r="E4" s="1">
        <v>-0.68200000000000005</v>
      </c>
      <c r="F4" s="1">
        <v>-795</v>
      </c>
      <c r="G4" s="1">
        <v>-3290</v>
      </c>
      <c r="H4" s="1">
        <v>0</v>
      </c>
      <c r="I4" s="1">
        <v>877</v>
      </c>
      <c r="J4" s="1">
        <v>592</v>
      </c>
      <c r="K4" s="1">
        <v>9</v>
      </c>
      <c r="L4" s="1" t="s">
        <v>26</v>
      </c>
      <c r="M4" s="1">
        <v>-592</v>
      </c>
      <c r="N4" s="1">
        <v>1</v>
      </c>
      <c r="O4" s="1" t="s">
        <v>1</v>
      </c>
      <c r="P4" s="1">
        <v>124.5</v>
      </c>
      <c r="Q4" s="1">
        <v>6</v>
      </c>
      <c r="R4" s="1" t="s">
        <v>26</v>
      </c>
      <c r="S4" s="1">
        <v>82</v>
      </c>
      <c r="T4" s="1">
        <v>169.6</v>
      </c>
      <c r="U4" s="1" t="s">
        <v>1</v>
      </c>
      <c r="V4" s="5" t="s">
        <v>24</v>
      </c>
      <c r="W4" s="5">
        <v>0</v>
      </c>
      <c r="X4" s="5" t="s">
        <v>24</v>
      </c>
      <c r="Y4" s="1">
        <v>0</v>
      </c>
    </row>
    <row r="5" spans="1:25" x14ac:dyDescent="0.2">
      <c r="A5" s="1" t="s">
        <v>4</v>
      </c>
      <c r="B5" s="1">
        <v>300</v>
      </c>
      <c r="C5" s="1">
        <v>7.7</v>
      </c>
      <c r="D5" s="1">
        <v>-1616</v>
      </c>
      <c r="E5" s="1">
        <v>-0.70499999999999996</v>
      </c>
      <c r="F5" s="1">
        <v>-538</v>
      </c>
      <c r="G5" s="1">
        <v>-854</v>
      </c>
      <c r="H5" s="1">
        <v>0</v>
      </c>
      <c r="I5" s="1">
        <v>520</v>
      </c>
      <c r="J5" s="1">
        <v>0</v>
      </c>
      <c r="K5" s="1">
        <v>5</v>
      </c>
      <c r="L5" s="1" t="s">
        <v>26</v>
      </c>
      <c r="M5" s="1">
        <v>131</v>
      </c>
      <c r="N5" s="1">
        <v>5.5</v>
      </c>
      <c r="O5" s="1" t="s">
        <v>1</v>
      </c>
      <c r="P5" s="1">
        <v>0</v>
      </c>
      <c r="Q5" s="1">
        <v>6</v>
      </c>
      <c r="R5" s="1" t="s">
        <v>41</v>
      </c>
      <c r="S5" s="1">
        <v>-131</v>
      </c>
      <c r="T5" s="1">
        <v>130</v>
      </c>
      <c r="U5" s="1" t="s">
        <v>1</v>
      </c>
      <c r="V5" s="1">
        <v>-630</v>
      </c>
      <c r="W5" s="1">
        <v>5</v>
      </c>
      <c r="X5" s="1" t="s">
        <v>26</v>
      </c>
      <c r="Y5" s="1">
        <v>0</v>
      </c>
    </row>
    <row r="6" spans="1:25" ht="35" customHeight="1" x14ac:dyDescent="0.2">
      <c r="Q6" s="13" t="s">
        <v>43</v>
      </c>
      <c r="T6" s="13" t="s">
        <v>44</v>
      </c>
    </row>
    <row r="7" spans="1:25" s="11" customFormat="1" ht="38" customHeight="1" x14ac:dyDescent="0.25">
      <c r="A7" s="10" t="s">
        <v>54</v>
      </c>
      <c r="B7" s="11" t="s">
        <v>27</v>
      </c>
      <c r="C7" s="11" t="s">
        <v>28</v>
      </c>
      <c r="D7" s="11" t="s">
        <v>29</v>
      </c>
      <c r="E7" s="11" t="s">
        <v>30</v>
      </c>
      <c r="F7" s="11" t="s">
        <v>31</v>
      </c>
      <c r="G7" s="11" t="s">
        <v>32</v>
      </c>
      <c r="H7" s="11" t="s">
        <v>33</v>
      </c>
      <c r="I7" s="10" t="s">
        <v>34</v>
      </c>
      <c r="J7" s="11" t="s">
        <v>36</v>
      </c>
      <c r="K7" s="11" t="s">
        <v>35</v>
      </c>
      <c r="L7" s="11" t="s">
        <v>37</v>
      </c>
      <c r="M7" s="11" t="s">
        <v>38</v>
      </c>
      <c r="N7" s="11" t="s">
        <v>39</v>
      </c>
      <c r="O7" s="10" t="s">
        <v>40</v>
      </c>
      <c r="P7" s="11" t="s">
        <v>42</v>
      </c>
      <c r="Q7" s="11" t="s">
        <v>45</v>
      </c>
      <c r="R7" s="11" t="s">
        <v>47</v>
      </c>
      <c r="S7" s="11" t="s">
        <v>46</v>
      </c>
      <c r="T7" s="11" t="s">
        <v>48</v>
      </c>
      <c r="U7" s="11" t="s">
        <v>55</v>
      </c>
      <c r="V7" s="11" t="s">
        <v>56</v>
      </c>
      <c r="W7" s="11" t="s">
        <v>49</v>
      </c>
    </row>
    <row r="8" spans="1:25" x14ac:dyDescent="0.2">
      <c r="A8" s="1" t="s">
        <v>1</v>
      </c>
      <c r="B8" s="1">
        <f>D2/2</f>
        <v>-1084</v>
      </c>
      <c r="C8" s="1">
        <f>G2/2</f>
        <v>-732</v>
      </c>
      <c r="D8" s="6">
        <f>B8/B2</f>
        <v>-3.6133333333333333</v>
      </c>
      <c r="E8" s="7">
        <f>B2/(2048*(D8^3))</f>
        <v>-3.1050401481061861E-3</v>
      </c>
      <c r="F8" s="8">
        <f>C2/D8</f>
        <v>-2.2140221402214024</v>
      </c>
      <c r="G8" s="8">
        <f>-1*(I2+K2+N2+Q2+T2+W2)/(B8-F2)</f>
        <v>2.2377988047808763</v>
      </c>
      <c r="H8" s="6">
        <f>AVERAGE(ABS(F8),G8)</f>
        <v>2.2259104725011394</v>
      </c>
      <c r="I8" s="9">
        <f>-1*(I2+K2+N2+Q2+T2+W2+F2)/B8</f>
        <v>0.19953874538745395</v>
      </c>
      <c r="J8" s="9">
        <f>G2/D2</f>
        <v>0.67527675276752763</v>
      </c>
      <c r="K8" s="9">
        <f>J8*(H8-1)/H8</f>
        <v>0.37190572275087364</v>
      </c>
      <c r="L8" s="6">
        <f>-1+(H8^2-1)*(1+I8)/H8^3</f>
        <v>-0.56986749079497645</v>
      </c>
      <c r="M8" s="9">
        <f>(E2+1-1*((1-2*J8/K8)^2)*K8^4/J8^3)</f>
        <v>-0.24020272680152921</v>
      </c>
      <c r="N8" s="9">
        <f>(L8+1-1*((1-2*K8/L8)^2)*L8^4/K8^3)</f>
        <v>-10.464878021087419</v>
      </c>
      <c r="O8" s="12">
        <f>ABS(E8*M8)*1000000</f>
        <v>745.83911040332998</v>
      </c>
      <c r="P8" s="6">
        <f>O8/6</f>
        <v>124.30651840055499</v>
      </c>
      <c r="Q8">
        <f>((1+((E2+1)*(H8-I8)*H8^2))/2*(1+I8))/(4*(C2*B2)^2)</f>
        <v>7.5689735650131182E-8</v>
      </c>
      <c r="R8" s="14">
        <f>$Q8*(206265/($B2*$C2))*5.3097*(1/3600)*0.017433*$B2^3/12</f>
        <v>3.7633396775841552E-4</v>
      </c>
      <c r="S8" s="6">
        <f>R8*1000000/6</f>
        <v>62.722327959735914</v>
      </c>
      <c r="T8" s="6">
        <f>206265/(C2*B2)*482.7*0.011/60</f>
        <v>7.6055921562499984</v>
      </c>
      <c r="U8" s="14">
        <f>$Q8*(206265/($B2*$C2))*10.6205*(1/3600)*0.017433*$B2^3/12</f>
        <v>7.5274589987725331E-4</v>
      </c>
      <c r="V8" s="6">
        <f>U8*1000000/6</f>
        <v>125.45764997954223</v>
      </c>
      <c r="W8" s="6">
        <f>206265/(B2*C2)*965.5*0.011/60</f>
        <v>15.212759947916663</v>
      </c>
    </row>
    <row r="9" spans="1:25" x14ac:dyDescent="0.2">
      <c r="A9" s="1" t="s">
        <v>2</v>
      </c>
      <c r="B9" s="1">
        <f>D3/2</f>
        <v>-1065</v>
      </c>
      <c r="C9" s="1">
        <f>G3/2</f>
        <v>-773</v>
      </c>
      <c r="D9" s="6">
        <f>B9/B3</f>
        <v>-3.55</v>
      </c>
      <c r="E9" s="7">
        <f>B3/(2048*(D9^3))</f>
        <v>-3.2742078337910825E-3</v>
      </c>
      <c r="F9" s="8">
        <f>C3/D9</f>
        <v>-2.140845070422535</v>
      </c>
      <c r="G9" s="8">
        <f>-1*(I3+K3+N3+Q3+T3+W3)/(B9-F3)</f>
        <v>2.1334152334152332</v>
      </c>
      <c r="H9" s="6">
        <f>AVERAGE(ABS(F9),G9)</f>
        <v>2.1371301519188841</v>
      </c>
      <c r="I9" s="9">
        <f>-1*(I3+K3+N3+Q3+T3+W3+F3)/B9</f>
        <v>0.19746478873239431</v>
      </c>
      <c r="J9" s="9">
        <f>G3/D3</f>
        <v>0.72582159624413145</v>
      </c>
      <c r="K9" s="9">
        <f>J9*(H9-1)/H9</f>
        <v>0.38619717253159735</v>
      </c>
      <c r="L9" s="6">
        <f>-1+(H9^2-1)*(1+I9)/H9^3</f>
        <v>-0.5623644944688232</v>
      </c>
      <c r="M9" s="9">
        <f>(E3+1-1*((1-2*J9/K9)^2)*K9^4/J9^3)</f>
        <v>-0.13278349512403137</v>
      </c>
      <c r="N9" s="9">
        <f>(L9+1-1*((1-2*K9/L9)^2)*L9^4/K9^3)</f>
        <v>-9.344059744663058</v>
      </c>
      <c r="O9" s="12">
        <f>ABS(E9*M9)*1000000</f>
        <v>434.7607599332635</v>
      </c>
      <c r="P9" s="6">
        <f t="shared" ref="P9:P11" si="0">O9/6</f>
        <v>72.460126655543917</v>
      </c>
      <c r="Q9">
        <f t="shared" ref="Q9:Q11" si="1">((1+((E3+1)*(H9-I9)*H9^2))/2*(1+I9))/(4*(C3*B3)^2)</f>
        <v>1.0787167801592107E-7</v>
      </c>
      <c r="R9" s="14">
        <f t="shared" ref="R9:R11" si="2">Q9*(206265/(B3*C3))*5.3097*(1/3600)*0.017433*B3^3/12</f>
        <v>5.6457320203738418E-4</v>
      </c>
      <c r="S9" s="6">
        <f t="shared" ref="S9:S11" si="3">R9*1000000/6</f>
        <v>94.095533672897361</v>
      </c>
      <c r="T9" s="6">
        <f t="shared" ref="T9:T11" si="4">206265/(C3*B3)*482.7*0.011/60</f>
        <v>8.0058864802631557</v>
      </c>
      <c r="U9" s="14">
        <f t="shared" ref="U9:U11" si="5">$Q9*(206265/($B3*$C3))*10.6205*(1/3600)*0.017433*$B3^3/12</f>
        <v>1.1292633655833734E-3</v>
      </c>
      <c r="V9" s="6">
        <f t="shared" ref="V9:V11" si="6">U9*1000000/6</f>
        <v>188.21056093056222</v>
      </c>
      <c r="W9" s="6">
        <f>206265/(B3*C3)*965.5*0.011/60</f>
        <v>16.013431524122804</v>
      </c>
    </row>
    <row r="10" spans="1:25" x14ac:dyDescent="0.2">
      <c r="A10" s="1" t="s">
        <v>3</v>
      </c>
      <c r="B10" s="1">
        <f>D4/2</f>
        <v>-1440</v>
      </c>
      <c r="C10" s="1">
        <f>G4/2</f>
        <v>-1645</v>
      </c>
      <c r="D10" s="6">
        <f>B10/B4</f>
        <v>-4.8</v>
      </c>
      <c r="E10" s="7">
        <f>B4/(2048*(D10^3))</f>
        <v>-1.3245476616753472E-3</v>
      </c>
      <c r="F10" s="8">
        <f>C4/D10</f>
        <v>-1.6666666666666667</v>
      </c>
      <c r="G10" s="8">
        <f>-1*(I4+K4+N4+Q4+T4+W4)/(B10-F4)</f>
        <v>1.6474418604651162</v>
      </c>
      <c r="H10" s="6">
        <f>AVERAGE(ABS(F10),G10)</f>
        <v>1.6570542635658914</v>
      </c>
      <c r="I10" s="9">
        <f>-1*(I4+K4+N4+Q4+T4+W4+F4)/B10</f>
        <v>0.18583333333333327</v>
      </c>
      <c r="J10" s="9">
        <f>G4/D4</f>
        <v>1.1423611111111112</v>
      </c>
      <c r="K10" s="9">
        <f>J10*(H10-1)/H10</f>
        <v>0.45296841213406519</v>
      </c>
      <c r="L10" s="6">
        <f>-1+(H10^2-1)*(1+I10)/H10^3</f>
        <v>-0.54499609478067024</v>
      </c>
      <c r="M10" s="9">
        <f>(E4+1-1*((1-2*J10/K10)^2)*K10^4/J10^3)</f>
        <v>-0.14380625544666259</v>
      </c>
      <c r="N10" s="9">
        <f>(L10+1-1*((1-2*K10/L10)^2)*L10^4/K10^3)</f>
        <v>-6.2728677291284107</v>
      </c>
      <c r="O10" s="12">
        <f>ABS(E10*M10)*1000000</f>
        <v>190.4782393861646</v>
      </c>
      <c r="P10" s="6">
        <f t="shared" si="0"/>
        <v>31.746373231027434</v>
      </c>
      <c r="Q10">
        <f t="shared" si="1"/>
        <v>5.8793226278467079E-8</v>
      </c>
      <c r="R10" s="14">
        <f t="shared" si="2"/>
        <v>2.9232349581677418E-4</v>
      </c>
      <c r="S10" s="6">
        <f t="shared" si="3"/>
        <v>48.720582636129031</v>
      </c>
      <c r="T10" s="6">
        <f t="shared" si="4"/>
        <v>7.6055921562499984</v>
      </c>
      <c r="U10" s="14">
        <f t="shared" si="5"/>
        <v>5.8470755171140536E-4</v>
      </c>
      <c r="V10" s="6">
        <f t="shared" si="6"/>
        <v>97.451258618567564</v>
      </c>
      <c r="W10" s="6">
        <f>206265/(B4*C4)*965.5*0.011/60</f>
        <v>15.212759947916663</v>
      </c>
    </row>
    <row r="11" spans="1:25" x14ac:dyDescent="0.2">
      <c r="A11" s="1" t="s">
        <v>4</v>
      </c>
      <c r="B11" s="1">
        <f>D5/2</f>
        <v>-808</v>
      </c>
      <c r="C11" s="1">
        <f>G5/2</f>
        <v>-427</v>
      </c>
      <c r="D11" s="6">
        <f>B11/B5</f>
        <v>-2.6933333333333334</v>
      </c>
      <c r="E11" s="7">
        <f>B5/(2048*(D11^3))</f>
        <v>-7.4975778562678527E-3</v>
      </c>
      <c r="F11" s="8">
        <f>C5/D11</f>
        <v>-2.858910891089109</v>
      </c>
      <c r="G11" s="8">
        <f>-1*(I5+K5+N5+Q5+T5+W5)/(B11-F5)</f>
        <v>2.4870370370370369</v>
      </c>
      <c r="H11" s="6">
        <f>AVERAGE(ABS(F11),G11)</f>
        <v>2.6729739640630727</v>
      </c>
      <c r="I11" s="9">
        <f>-1*(I5+K5+N5+Q5+T5+W5+F5)/B11</f>
        <v>0.16522277227722773</v>
      </c>
      <c r="J11" s="9">
        <f>G5/D5</f>
        <v>0.52846534653465349</v>
      </c>
      <c r="K11" s="9">
        <f>J11*(H11-1)/H11</f>
        <v>0.33075846512105528</v>
      </c>
      <c r="L11" s="6">
        <f>-1+(H11^2-1)*(1+I11)/H11^3</f>
        <v>-0.62508586888211104</v>
      </c>
      <c r="M11" s="9">
        <f>(E5+1-1*((1-2*J11/K11)^2)*K11^4/J11^3)</f>
        <v>-9.5887393457391834E-2</v>
      </c>
      <c r="N11" s="9">
        <f>(L11+1-1*((1-2*K11/L11)^2)*L11^4/K11^3)</f>
        <v>-17.499649249772947</v>
      </c>
      <c r="O11" s="12">
        <f>ABS(E11*M11)*1000000</f>
        <v>718.923197881384</v>
      </c>
      <c r="P11" s="6">
        <f t="shared" si="0"/>
        <v>119.82053298023067</v>
      </c>
      <c r="Q11">
        <f t="shared" si="1"/>
        <v>1.7157070002021576E-7</v>
      </c>
      <c r="R11" s="14">
        <f t="shared" si="2"/>
        <v>8.8629605442545965E-4</v>
      </c>
      <c r="S11" s="6">
        <f t="shared" si="3"/>
        <v>147.71600907090993</v>
      </c>
      <c r="T11" s="6">
        <f t="shared" si="4"/>
        <v>7.9019139285714282</v>
      </c>
      <c r="U11" s="14">
        <f t="shared" si="5"/>
        <v>1.7727757210436736E-3</v>
      </c>
      <c r="V11" s="6">
        <f t="shared" si="6"/>
        <v>295.4626201739456</v>
      </c>
      <c r="W11" s="6">
        <f>206265/(B5*C5)*965.5*0.011/60</f>
        <v>15.805464880952378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685D-8724-5246-AEF2-3915C8A371E5}">
  <dimension ref="A1:Y11"/>
  <sheetViews>
    <sheetView tabSelected="1" zoomScale="140" zoomScaleNormal="140" workbookViewId="0">
      <selection activeCell="A10" sqref="A10"/>
    </sheetView>
  </sheetViews>
  <sheetFormatPr baseColWidth="10" defaultRowHeight="16" x14ac:dyDescent="0.2"/>
  <cols>
    <col min="1" max="1" width="20" customWidth="1"/>
    <col min="24" max="24" width="13.33203125" bestFit="1" customWidth="1"/>
  </cols>
  <sheetData>
    <row r="1" spans="1:25" s="2" customFormat="1" ht="18" x14ac:dyDescent="0.25">
      <c r="A1" s="2" t="s">
        <v>50</v>
      </c>
      <c r="B1" s="2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2" t="s">
        <v>10</v>
      </c>
      <c r="H1" s="4" t="s">
        <v>11</v>
      </c>
      <c r="I1" s="2" t="s">
        <v>12</v>
      </c>
      <c r="J1" s="2" t="s">
        <v>13</v>
      </c>
      <c r="K1" s="2" t="s">
        <v>14</v>
      </c>
      <c r="L1" s="2" t="s">
        <v>25</v>
      </c>
      <c r="M1" s="2" t="s">
        <v>15</v>
      </c>
      <c r="N1" s="2" t="s">
        <v>16</v>
      </c>
      <c r="O1" s="2" t="s">
        <v>25</v>
      </c>
      <c r="P1" s="2" t="s">
        <v>17</v>
      </c>
      <c r="Q1" s="2" t="s">
        <v>18</v>
      </c>
      <c r="R1" s="2" t="s">
        <v>25</v>
      </c>
      <c r="S1" s="2" t="s">
        <v>19</v>
      </c>
      <c r="T1" s="2" t="s">
        <v>20</v>
      </c>
      <c r="U1" s="2" t="s">
        <v>25</v>
      </c>
      <c r="V1" s="2" t="s">
        <v>21</v>
      </c>
      <c r="W1" s="2" t="s">
        <v>22</v>
      </c>
      <c r="X1" s="2" t="s">
        <v>25</v>
      </c>
      <c r="Y1" s="2" t="s">
        <v>23</v>
      </c>
    </row>
    <row r="2" spans="1:25" s="1" customFormat="1" x14ac:dyDescent="0.2">
      <c r="A2" s="1" t="s">
        <v>51</v>
      </c>
      <c r="B2" s="1">
        <v>1549</v>
      </c>
      <c r="C2" s="1">
        <v>9.8000000000000007</v>
      </c>
      <c r="D2" s="1">
        <v>-30557.78</v>
      </c>
      <c r="E2" s="1">
        <v>-1</v>
      </c>
      <c r="F2" s="1">
        <v>-6502.4849999999997</v>
      </c>
      <c r="G2" s="1">
        <v>0</v>
      </c>
      <c r="I2" s="1">
        <v>6502.4849999999997</v>
      </c>
      <c r="K2" s="1">
        <v>2768.92</v>
      </c>
      <c r="N2" s="1">
        <v>0</v>
      </c>
      <c r="Q2" s="1">
        <v>0</v>
      </c>
      <c r="T2" s="1">
        <v>0</v>
      </c>
      <c r="W2" s="1">
        <v>0</v>
      </c>
    </row>
    <row r="3" spans="1:25" s="1" customFormat="1" x14ac:dyDescent="0.2">
      <c r="A3" s="1" t="s">
        <v>52</v>
      </c>
      <c r="B3" s="1">
        <v>1000</v>
      </c>
      <c r="C3" s="1">
        <v>7.3</v>
      </c>
      <c r="D3" s="1">
        <v>-14600</v>
      </c>
    </row>
    <row r="4" spans="1:25" s="1" customFormat="1" x14ac:dyDescent="0.2">
      <c r="A4" s="1" t="s">
        <v>53</v>
      </c>
      <c r="B4" s="1">
        <v>1287.78</v>
      </c>
      <c r="C4" s="1">
        <v>4</v>
      </c>
      <c r="D4" s="1">
        <v>-6060.69</v>
      </c>
      <c r="E4" s="1">
        <v>-1.637</v>
      </c>
      <c r="F4" s="1">
        <v>-1735.13</v>
      </c>
      <c r="G4" s="1">
        <v>-6060.69</v>
      </c>
      <c r="H4" s="1">
        <v>-35.781999999999996</v>
      </c>
      <c r="I4" s="1">
        <v>1802.85</v>
      </c>
      <c r="K4" s="1">
        <v>306.32</v>
      </c>
      <c r="L4" s="1" t="s">
        <v>57</v>
      </c>
      <c r="N4" s="1">
        <v>25.98</v>
      </c>
      <c r="O4" s="1" t="s">
        <v>57</v>
      </c>
      <c r="Q4" s="1">
        <v>29.997</v>
      </c>
      <c r="R4" s="1" t="s">
        <v>57</v>
      </c>
      <c r="T4" s="1">
        <v>0</v>
      </c>
      <c r="W4" s="1">
        <v>0</v>
      </c>
    </row>
    <row r="7" spans="1:25" s="11" customFormat="1" ht="68" customHeight="1" x14ac:dyDescent="0.25">
      <c r="A7" s="10" t="s">
        <v>58</v>
      </c>
      <c r="B7" s="11" t="s">
        <v>27</v>
      </c>
      <c r="C7" s="11" t="s">
        <v>28</v>
      </c>
      <c r="D7" s="11" t="s">
        <v>29</v>
      </c>
      <c r="E7" s="11" t="s">
        <v>30</v>
      </c>
      <c r="F7" s="11" t="s">
        <v>31</v>
      </c>
      <c r="G7" s="11" t="s">
        <v>32</v>
      </c>
      <c r="H7" s="11" t="s">
        <v>33</v>
      </c>
      <c r="I7" s="10" t="s">
        <v>34</v>
      </c>
      <c r="J7" s="11" t="s">
        <v>36</v>
      </c>
      <c r="K7" s="11" t="s">
        <v>35</v>
      </c>
      <c r="L7" s="11" t="s">
        <v>70</v>
      </c>
      <c r="M7" s="11" t="s">
        <v>59</v>
      </c>
      <c r="N7" s="11" t="s">
        <v>71</v>
      </c>
      <c r="O7" s="11" t="s">
        <v>48</v>
      </c>
      <c r="P7" s="11" t="s">
        <v>49</v>
      </c>
      <c r="Q7" s="11" t="s">
        <v>72</v>
      </c>
      <c r="R7" s="10" t="s">
        <v>73</v>
      </c>
      <c r="S7" s="10" t="s">
        <v>76</v>
      </c>
      <c r="T7" s="10" t="s">
        <v>77</v>
      </c>
      <c r="U7" s="11" t="s">
        <v>67</v>
      </c>
      <c r="V7" s="11" t="s">
        <v>68</v>
      </c>
      <c r="W7" s="11" t="s">
        <v>75</v>
      </c>
    </row>
    <row r="8" spans="1:25" x14ac:dyDescent="0.2">
      <c r="A8" s="1" t="s">
        <v>52</v>
      </c>
      <c r="M8" s="6">
        <v>-1</v>
      </c>
    </row>
    <row r="9" spans="1:25" ht="18" customHeight="1" x14ac:dyDescent="0.2">
      <c r="A9" s="1" t="s">
        <v>74</v>
      </c>
      <c r="B9">
        <f>D4/2</f>
        <v>-3030.3449999999998</v>
      </c>
      <c r="C9">
        <f>G4/2</f>
        <v>-3030.3449999999998</v>
      </c>
      <c r="D9">
        <f>B9/B4</f>
        <v>-2.3531542654801285</v>
      </c>
      <c r="E9" s="7">
        <f>B4/(2048*(D9^3))</f>
        <v>-4.8257022975322E-2</v>
      </c>
      <c r="F9" s="8">
        <f>ABS(C4/D9)</f>
        <v>1.6998460571321088</v>
      </c>
      <c r="G9" s="8">
        <f>ABS((I4+K4+N4+Q4+T4+W4)/(B9-F4))</f>
        <v>1.6716506525943573</v>
      </c>
      <c r="H9" s="9">
        <f>AVERAGE(F9,G9)</f>
        <v>1.685748354863233</v>
      </c>
      <c r="I9" s="9">
        <f>-1*(I4+K4+N4+Q4+T4+W4+F4)/B9</f>
        <v>0.14190364463452176</v>
      </c>
      <c r="J9" s="9">
        <f>ABS(G4/D4)</f>
        <v>1</v>
      </c>
      <c r="K9" s="9">
        <f>J9*(H9-1)/H9</f>
        <v>0.40679165006147594</v>
      </c>
      <c r="L9" s="9">
        <f>-1-2*(1+I9)/(H9^2*(H9-I9))</f>
        <v>-1.5205594701159819</v>
      </c>
      <c r="M9" s="6">
        <v>-1</v>
      </c>
      <c r="N9">
        <f>-1*(((H9+1)/(H9-1))^2)-2*H9*(H9+1)/((H9-I9)*(H9-1)^3)</f>
        <v>-33.527359469746898</v>
      </c>
      <c r="O9" s="1">
        <v>3.504</v>
      </c>
      <c r="P9" s="1">
        <v>7.008</v>
      </c>
      <c r="Q9" s="1">
        <v>10.51</v>
      </c>
      <c r="R9" s="9">
        <f>(-1*($H$9^2+$I$9)*((O9*0.0175/60)*$B$4)^2)/(8*(1+$I$9)*$H$9*$B$4*$C$4)*1000000</f>
        <v>-65.150736710657966</v>
      </c>
      <c r="S9" s="9">
        <f>(-1*($H$9^2+$I$9)*((P9*0.0175/60)*$B$4)^2)/(8*(1+$I$9)*$H$9*$B$4*$C$4)*1000000</f>
        <v>-260.60294684263187</v>
      </c>
      <c r="T9" s="9">
        <f>(-1*($H$9^2+$I$9)*((Q9*0.0175/60)*$B$4)^2)/(8*(1+$I$9)*$H$9*$B$4*$C$4)*1000000</f>
        <v>-586.13353265975127</v>
      </c>
      <c r="U9" s="9">
        <f>(O9*0.0175/60)*$B$4/(48*$C$4^2)*1000000</f>
        <v>1713.6864062500003</v>
      </c>
      <c r="V9" s="9">
        <f>(P9*0.0175/60)*$B$4/(48*$C$4^2)*1000000</f>
        <v>3427.3728125000007</v>
      </c>
      <c r="W9" s="9">
        <f>(Q9*0.0175/60)*$B$4/(48*$C$4^2)*1000000</f>
        <v>5140.0810872395841</v>
      </c>
      <c r="X9" s="15"/>
    </row>
    <row r="10" spans="1:25" ht="32" customHeight="1" x14ac:dyDescent="0.25">
      <c r="A10" s="1"/>
      <c r="R10" s="11" t="s">
        <v>78</v>
      </c>
      <c r="S10" s="11" t="s">
        <v>79</v>
      </c>
      <c r="T10" s="11" t="s">
        <v>80</v>
      </c>
      <c r="U10" s="11" t="s">
        <v>81</v>
      </c>
      <c r="V10" s="11" t="s">
        <v>83</v>
      </c>
      <c r="W10" s="11" t="s">
        <v>82</v>
      </c>
    </row>
    <row r="11" spans="1:25" x14ac:dyDescent="0.2">
      <c r="A11" s="1" t="s">
        <v>74</v>
      </c>
      <c r="R11" s="6">
        <f>R9/SQRT(24)</f>
        <v>-13.298838442293679</v>
      </c>
      <c r="S11" s="6">
        <f>S9/SQRT(24)</f>
        <v>-53.195353769174716</v>
      </c>
      <c r="T11" s="6">
        <f>T9/SQRT(24)</f>
        <v>-119.64400634594415</v>
      </c>
      <c r="U11" s="6">
        <f>U9/32</f>
        <v>53.552700195312511</v>
      </c>
      <c r="V11" s="6">
        <f>V9/32</f>
        <v>107.10540039062502</v>
      </c>
      <c r="W11" s="6">
        <f>W9/32</f>
        <v>160.627533976237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2B28-9AAC-8446-BDC4-4F6BF2F6CAFD}">
  <dimension ref="A1:Y8"/>
  <sheetViews>
    <sheetView zoomScale="150" zoomScaleNormal="150" workbookViewId="0">
      <selection activeCell="R7" sqref="R7"/>
    </sheetView>
  </sheetViews>
  <sheetFormatPr baseColWidth="10" defaultRowHeight="16" x14ac:dyDescent="0.2"/>
  <cols>
    <col min="1" max="1" width="14.1640625" customWidth="1"/>
    <col min="12" max="12" width="10.6640625" customWidth="1"/>
    <col min="14" max="14" width="12.83203125" bestFit="1" customWidth="1"/>
    <col min="18" max="18" width="12.83203125" bestFit="1" customWidth="1"/>
  </cols>
  <sheetData>
    <row r="1" spans="1:25" s="2" customFormat="1" ht="18" x14ac:dyDescent="0.25">
      <c r="A1" s="2" t="s">
        <v>60</v>
      </c>
      <c r="B1" s="2" t="s">
        <v>5</v>
      </c>
      <c r="C1" s="2" t="s">
        <v>6</v>
      </c>
      <c r="D1" s="2" t="s">
        <v>7</v>
      </c>
      <c r="E1" s="3" t="s">
        <v>8</v>
      </c>
      <c r="F1" s="2" t="s">
        <v>9</v>
      </c>
      <c r="G1" s="2" t="s">
        <v>10</v>
      </c>
      <c r="H1" s="4" t="s">
        <v>11</v>
      </c>
      <c r="I1" s="2" t="s">
        <v>12</v>
      </c>
      <c r="J1" s="2" t="s">
        <v>13</v>
      </c>
      <c r="K1" s="2" t="s">
        <v>14</v>
      </c>
      <c r="L1" s="2" t="s">
        <v>25</v>
      </c>
      <c r="M1" s="2" t="s">
        <v>15</v>
      </c>
      <c r="N1" s="2" t="s">
        <v>16</v>
      </c>
      <c r="O1" s="2" t="s">
        <v>25</v>
      </c>
      <c r="P1" s="2" t="s">
        <v>17</v>
      </c>
      <c r="Q1" s="2" t="s">
        <v>18</v>
      </c>
      <c r="R1" s="2" t="s">
        <v>25</v>
      </c>
      <c r="S1" s="2" t="s">
        <v>19</v>
      </c>
      <c r="T1" s="2" t="s">
        <v>20</v>
      </c>
      <c r="U1" s="2" t="s">
        <v>25</v>
      </c>
      <c r="V1" s="2" t="s">
        <v>21</v>
      </c>
      <c r="W1" s="2" t="s">
        <v>22</v>
      </c>
      <c r="X1" s="2" t="s">
        <v>25</v>
      </c>
      <c r="Y1" s="2" t="s">
        <v>23</v>
      </c>
    </row>
    <row r="2" spans="1:25" s="1" customFormat="1" x14ac:dyDescent="0.2">
      <c r="A2" s="1" t="s">
        <v>61</v>
      </c>
      <c r="B2" s="1">
        <v>250</v>
      </c>
      <c r="C2" s="1">
        <v>8.1</v>
      </c>
      <c r="D2" s="1">
        <v>-1510</v>
      </c>
      <c r="E2" s="1">
        <v>-1.1539999999999999</v>
      </c>
      <c r="F2" s="1">
        <v>-484</v>
      </c>
      <c r="G2" s="1">
        <v>-862</v>
      </c>
      <c r="H2" s="1">
        <v>-6.5119999999999996</v>
      </c>
      <c r="I2" s="1">
        <v>728</v>
      </c>
      <c r="K2" s="1">
        <v>0</v>
      </c>
      <c r="N2" s="1">
        <v>0</v>
      </c>
      <c r="Q2" s="1">
        <v>0</v>
      </c>
      <c r="T2" s="1">
        <v>0</v>
      </c>
      <c r="W2" s="1">
        <v>0</v>
      </c>
      <c r="Y2" s="1">
        <v>0</v>
      </c>
    </row>
    <row r="3" spans="1:25" s="1" customFormat="1" x14ac:dyDescent="0.2">
      <c r="A3" s="1" t="s">
        <v>62</v>
      </c>
      <c r="B3" s="1">
        <v>250</v>
      </c>
      <c r="C3" s="1">
        <v>8.6</v>
      </c>
      <c r="D3" s="1">
        <v>-1510</v>
      </c>
      <c r="E3" s="1">
        <v>-1.1539999999999999</v>
      </c>
      <c r="F3" s="1">
        <v>-484</v>
      </c>
      <c r="G3" s="1">
        <v>-862</v>
      </c>
      <c r="H3" s="1">
        <v>-6.5119999999999996</v>
      </c>
    </row>
    <row r="5" spans="1:25" ht="13" customHeight="1" x14ac:dyDescent="0.2"/>
    <row r="6" spans="1:25" ht="55" customHeight="1" x14ac:dyDescent="0.25">
      <c r="A6" s="10" t="s">
        <v>54</v>
      </c>
      <c r="B6" s="11" t="s">
        <v>27</v>
      </c>
      <c r="C6" s="11" t="s">
        <v>28</v>
      </c>
      <c r="D6" s="11" t="s">
        <v>29</v>
      </c>
      <c r="E6" s="11" t="s">
        <v>30</v>
      </c>
      <c r="F6" s="11" t="s">
        <v>31</v>
      </c>
      <c r="G6" s="11" t="s">
        <v>32</v>
      </c>
      <c r="H6" s="11" t="s">
        <v>33</v>
      </c>
      <c r="I6" s="10" t="s">
        <v>34</v>
      </c>
      <c r="J6" s="11" t="s">
        <v>36</v>
      </c>
      <c r="K6" s="11" t="s">
        <v>35</v>
      </c>
      <c r="L6" s="11" t="s">
        <v>63</v>
      </c>
      <c r="M6" s="11" t="s">
        <v>64</v>
      </c>
      <c r="N6" s="11" t="s">
        <v>65</v>
      </c>
      <c r="O6" s="11" t="s">
        <v>66</v>
      </c>
      <c r="P6" s="11" t="s">
        <v>67</v>
      </c>
      <c r="Q6" s="11" t="s">
        <v>68</v>
      </c>
      <c r="R6" s="11" t="s">
        <v>69</v>
      </c>
    </row>
    <row r="7" spans="1:25" s="1" customFormat="1" x14ac:dyDescent="0.2">
      <c r="A7" s="1" t="s">
        <v>61</v>
      </c>
      <c r="B7" s="1">
        <f>D2/2</f>
        <v>-755</v>
      </c>
      <c r="C7" s="1">
        <f>G2/2</f>
        <v>-431</v>
      </c>
      <c r="D7" s="1">
        <f>B7/B2</f>
        <v>-3.02</v>
      </c>
      <c r="E7" s="7">
        <f>B2/(2048*(D7^3))</f>
        <v>-4.431892600998388E-3</v>
      </c>
      <c r="F7" s="8">
        <f>ABS(C2/D7)</f>
        <v>2.682119205298013</v>
      </c>
      <c r="G7" s="8">
        <f>ABS((I2+K2+N2+Q2+T2+W2)/(B7-F2))</f>
        <v>2.6863468634686347</v>
      </c>
      <c r="H7" s="9">
        <f>AVERAGE(F7,G7)</f>
        <v>2.6842330343833236</v>
      </c>
      <c r="I7" s="9">
        <f>-1*(I2+K2+N2+Q2+T2+W2+F2)/B7</f>
        <v>0.32317880794701986</v>
      </c>
      <c r="J7" s="9">
        <f>ABS(G2/D2)</f>
        <v>0.57086092715231784</v>
      </c>
      <c r="K7" s="9">
        <f>J7*(H7-1)/H7</f>
        <v>0.35818903173938194</v>
      </c>
      <c r="L7" s="8">
        <v>6.3550000000000004</v>
      </c>
      <c r="M7" s="1">
        <v>8.4640000000000004</v>
      </c>
      <c r="N7" s="9">
        <f>(-1*(H7^2+I7)*((L7*0.0175/60)*B2)^2)/(8*(1+I7)*H7*C2*B2)*1000000</f>
        <v>-28.09487170815185</v>
      </c>
      <c r="O7" s="9">
        <f>(-1*(H7^2+I7)*((M7*0.0175/60)*B2)^2)/(8*(1+I7)*H7*C2*B2)*1000000</f>
        <v>-49.83646769847531</v>
      </c>
      <c r="P7" s="9">
        <f>(L7*0.0175/60)*B2/(48*C2^2)*1000000</f>
        <v>147.14011350742607</v>
      </c>
      <c r="Q7" s="9">
        <f>(M7*0.0175/60)*B2/(48*C2^2)*1000000</f>
        <v>195.97071923317927</v>
      </c>
      <c r="R7" s="15">
        <f>((E2+1-1*(H2+(1-2*J7/K7)^2)*K7^4/J7^3)*B2)/(2048*D7^3)*1000000</f>
        <v>5.3099659238698145</v>
      </c>
      <c r="S7" s="15"/>
    </row>
    <row r="8" spans="1:25" x14ac:dyDescent="0.2">
      <c r="A8" s="1" t="s">
        <v>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Dall-Kirkham</vt:lpstr>
      <vt:lpstr>NOFS</vt:lpstr>
      <vt:lpstr>Filipovic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Zavala, Robert T (Bob) JR CIV USN NAVOBSYSTA FLG AZ (USA)</dc:creator>
  <cp:lastModifiedBy>Zavala, Robert T (Bob) JR CIV USN NAVOBSYSTA FLG AZ (U</cp:lastModifiedBy>
  <dcterms:created xsi:type="dcterms:W3CDTF">2025-12-05T16:44:40Z</dcterms:created>
  <dcterms:modified xsi:type="dcterms:W3CDTF">2026-01-12T23:21:19Z</dcterms:modified>
</cp:coreProperties>
</file>