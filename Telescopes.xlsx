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b.zavala/Desktop/bobMacBackUp/Optics/Ray tracing/"/>
    </mc:Choice>
  </mc:AlternateContent>
  <xr:revisionPtr revIDLastSave="0" documentId="13_ncr:1_{8481AE12-BE39-E244-BC88-E70D43D4A44D}" xr6:coauthVersionLast="47" xr6:coauthVersionMax="47" xr10:uidLastSave="{00000000-0000-0000-0000-000000000000}"/>
  <bookViews>
    <workbookView xWindow="1680" yWindow="12260" windowWidth="45500" windowHeight="12340" xr2:uid="{9120E6CE-487D-4A4E-A0CB-02EC34448099}"/>
  </bookViews>
  <sheets>
    <sheet name="Dall-Kirkha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" i="1" l="1"/>
  <c r="T10" i="1"/>
  <c r="T9" i="1"/>
  <c r="T8" i="1"/>
  <c r="S11" i="1"/>
  <c r="S10" i="1"/>
  <c r="S9" i="1"/>
  <c r="R11" i="1"/>
  <c r="R10" i="1"/>
  <c r="R9" i="1"/>
  <c r="S8" i="1"/>
  <c r="R8" i="1"/>
  <c r="Q11" i="1"/>
  <c r="Q10" i="1"/>
  <c r="Q9" i="1"/>
  <c r="Q8" i="1"/>
  <c r="P11" i="1"/>
  <c r="P10" i="1"/>
  <c r="P9" i="1"/>
  <c r="P8" i="1"/>
  <c r="G11" i="1"/>
  <c r="G10" i="1"/>
  <c r="G9" i="1"/>
  <c r="G8" i="1"/>
  <c r="J11" i="1"/>
  <c r="C11" i="1"/>
  <c r="B11" i="1"/>
  <c r="J10" i="1"/>
  <c r="I10" i="1"/>
  <c r="C10" i="1"/>
  <c r="B10" i="1"/>
  <c r="D10" i="1" s="1"/>
  <c r="J9" i="1"/>
  <c r="I9" i="1"/>
  <c r="C9" i="1"/>
  <c r="B9" i="1"/>
  <c r="D8" i="1"/>
  <c r="J8" i="1"/>
  <c r="I8" i="1"/>
  <c r="H8" i="1"/>
  <c r="F8" i="1"/>
  <c r="E8" i="1"/>
  <c r="C8" i="1"/>
  <c r="B8" i="1"/>
  <c r="I11" i="1" l="1"/>
  <c r="D11" i="1"/>
  <c r="K8" i="1"/>
  <c r="M8" i="1" s="1"/>
  <c r="O8" i="1" s="1"/>
  <c r="L8" i="1"/>
  <c r="N8" i="1" s="1"/>
  <c r="F10" i="1"/>
  <c r="H10" i="1" s="1"/>
  <c r="L10" i="1" s="1"/>
  <c r="E10" i="1"/>
  <c r="D9" i="1"/>
  <c r="F11" i="1" l="1"/>
  <c r="H11" i="1" s="1"/>
  <c r="E11" i="1"/>
  <c r="K10" i="1"/>
  <c r="M10" i="1" s="1"/>
  <c r="O10" i="1" s="1"/>
  <c r="F9" i="1"/>
  <c r="H9" i="1" s="1"/>
  <c r="E9" i="1"/>
  <c r="N10" i="1" l="1"/>
  <c r="L11" i="1"/>
  <c r="K11" i="1"/>
  <c r="M11" i="1" s="1"/>
  <c r="O11" i="1" s="1"/>
  <c r="L9" i="1"/>
  <c r="K9" i="1"/>
  <c r="M9" i="1" s="1"/>
  <c r="O9" i="1" s="1"/>
  <c r="N11" i="1" l="1"/>
  <c r="N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tc={DC6C2B91-7A5F-0A42-90EC-8C858E3ABAE9}</author>
    <author>tc={2713D711-D948-104D-97BC-95D6FB52D09A}</author>
    <author>tc={76332FAF-1148-CC4B-826A-6C142B2B9E84}</author>
    <author>tc={5139DE3C-86E2-1D44-8B56-3499D16FF154}</author>
    <author>tc={3C771A72-6F57-BC41-9928-D80E4CFF2B24}</author>
    <author>tc={9B320D16-4345-F640-925D-85BAD0C5104F}</author>
    <author>tc={C1D08A9C-4AEC-7946-8B79-9CAE047E7E8C}</author>
  </authors>
  <commentList>
    <comment ref="Q6" authorId="0" shapeId="0" xr:uid="{DC6C2B91-7A5F-0A42-90EC-8C858E3ABAE9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11 micron pixels and 2048 square sCMOS Andor camera. FoV is along diagonal.</t>
      </text>
    </comment>
    <comment ref="T6" authorId="1" shapeId="0" xr:uid="{2713D711-D948-104D-97BC-95D6FB5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11 micron pixels and 2048 square sCMOS Andor camera. FoV is along diagonal.</t>
      </text>
    </comment>
    <comment ref="A7" authorId="2" shapeId="0" xr:uid="{76332FAF-1148-CC4B-826A-6C142B2B9E84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Dall-Kirkham telescope with K2 = zero.</t>
      </text>
    </comment>
    <comment ref="F7" authorId="3" shapeId="0" xr:uid="{5139DE3C-86E2-1D44-8B56-3499D16FF1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and primary F numbers</t>
      </text>
    </comment>
    <comment ref="G7" authorId="4" shapeId="0" xr:uid="{3C771A72-6F57-BC41-9928-D80E4CFF2B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i-prime and i image distances</t>
      </text>
    </comment>
    <comment ref="L7" authorId="5" shapeId="0" xr:uid="{9B320D16-4345-F640-925D-85BAD0C5104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of K1 gives a value of K2 equal to zero to within 0.006 or 6 parts in a thousand for sub-aperture corrector A.</t>
      </text>
    </comment>
    <comment ref="O7" authorId="6" shapeId="0" xr:uid="{C1D08A9C-4AEC-7946-8B79-9CAE047E7E8C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two-mirror Dall-Kirkham telescope with K2 = zero.</t>
      </text>
    </comment>
  </commentList>
</comments>
</file>

<file path=xl/sharedStrings.xml><?xml version="1.0" encoding="utf-8"?>
<sst xmlns="http://schemas.openxmlformats.org/spreadsheetml/2006/main" count="78" uniqueCount="50">
  <si>
    <t xml:space="preserve">D-K sub-aperture corr. </t>
  </si>
  <si>
    <t>A</t>
  </si>
  <si>
    <t>B</t>
  </si>
  <si>
    <t>C</t>
  </si>
  <si>
    <t>D</t>
  </si>
  <si>
    <t>Diam. (mm)</t>
  </si>
  <si>
    <t>f/</t>
  </si>
  <si>
    <r>
      <t>R</t>
    </r>
    <r>
      <rPr>
        <b/>
        <vertAlign val="subscript"/>
        <sz val="12"/>
        <color theme="1"/>
        <rFont val="Aptos Narrow (Body)"/>
      </rPr>
      <t>1</t>
    </r>
  </si>
  <si>
    <r>
      <rPr>
        <b/>
        <sz val="12"/>
        <color theme="1"/>
        <rFont val="Aptos Narrow (Body)"/>
      </rPr>
      <t>K</t>
    </r>
    <r>
      <rPr>
        <b/>
        <vertAlign val="subscript"/>
        <sz val="12"/>
        <color theme="1"/>
        <rFont val="Aptos Narrow (Body)"/>
      </rPr>
      <t>1</t>
    </r>
  </si>
  <si>
    <r>
      <t>S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1</t>
    </r>
  </si>
  <si>
    <r>
      <t>R</t>
    </r>
    <r>
      <rPr>
        <b/>
        <vertAlign val="subscript"/>
        <sz val="12"/>
        <color theme="1"/>
        <rFont val="Aptos Narrow (Body)"/>
      </rPr>
      <t>2</t>
    </r>
  </si>
  <si>
    <r>
      <t>K</t>
    </r>
    <r>
      <rPr>
        <b/>
        <vertAlign val="subscript"/>
        <sz val="12"/>
        <color theme="1"/>
        <rFont val="Aptos Narrow (Body)"/>
      </rPr>
      <t>2</t>
    </r>
  </si>
  <si>
    <r>
      <t>S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2</t>
    </r>
  </si>
  <si>
    <r>
      <t>R</t>
    </r>
    <r>
      <rPr>
        <b/>
        <vertAlign val="subscript"/>
        <sz val="12"/>
        <color theme="1"/>
        <rFont val="Aptos Narrow (Body)"/>
      </rPr>
      <t>3</t>
    </r>
  </si>
  <si>
    <r>
      <t>S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3</t>
    </r>
  </si>
  <si>
    <r>
      <t>R</t>
    </r>
    <r>
      <rPr>
        <b/>
        <vertAlign val="subscript"/>
        <sz val="12"/>
        <color theme="1"/>
        <rFont val="Aptos Narrow (Body)"/>
      </rPr>
      <t>4</t>
    </r>
  </si>
  <si>
    <r>
      <t>S</t>
    </r>
    <r>
      <rPr>
        <b/>
        <vertAlign val="subscript"/>
        <sz val="12"/>
        <color theme="1"/>
        <rFont val="Aptos Narrow (Body)"/>
      </rPr>
      <t>4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4</t>
    </r>
  </si>
  <si>
    <r>
      <t>R</t>
    </r>
    <r>
      <rPr>
        <b/>
        <vertAlign val="subscript"/>
        <sz val="12"/>
        <color theme="1"/>
        <rFont val="Aptos Narrow (Body)"/>
      </rPr>
      <t>5</t>
    </r>
  </si>
  <si>
    <r>
      <t>S</t>
    </r>
    <r>
      <rPr>
        <b/>
        <vertAlign val="subscript"/>
        <sz val="12"/>
        <color theme="1"/>
        <rFont val="Aptos Narrow (Body)"/>
      </rPr>
      <t>5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5</t>
    </r>
  </si>
  <si>
    <r>
      <t>R</t>
    </r>
    <r>
      <rPr>
        <b/>
        <vertAlign val="subscript"/>
        <sz val="12"/>
        <color theme="1"/>
        <rFont val="Aptos Narrow (Body)"/>
      </rPr>
      <t>6</t>
    </r>
  </si>
  <si>
    <r>
      <t>S</t>
    </r>
    <r>
      <rPr>
        <b/>
        <vertAlign val="subscript"/>
        <sz val="12"/>
        <color theme="1"/>
        <rFont val="Aptos Narrow (Body)"/>
      </rPr>
      <t>6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6</t>
    </r>
  </si>
  <si>
    <r>
      <t>R</t>
    </r>
    <r>
      <rPr>
        <b/>
        <vertAlign val="subscript"/>
        <sz val="12"/>
        <color theme="1"/>
        <rFont val="Aptos Narrow (Body)"/>
      </rPr>
      <t>7</t>
    </r>
  </si>
  <si>
    <r>
      <t>S</t>
    </r>
    <r>
      <rPr>
        <b/>
        <vertAlign val="subscript"/>
        <sz val="12"/>
        <color theme="1"/>
        <rFont val="Aptos Narrow (Body)"/>
      </rPr>
      <t>7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7</t>
    </r>
  </si>
  <si>
    <r>
      <t>R</t>
    </r>
    <r>
      <rPr>
        <b/>
        <vertAlign val="subscript"/>
        <sz val="12"/>
        <color theme="1"/>
        <rFont val="Aptos Narrow (Body)"/>
      </rPr>
      <t>I</t>
    </r>
  </si>
  <si>
    <t>---</t>
  </si>
  <si>
    <t>Glass</t>
  </si>
  <si>
    <t>BK7</t>
  </si>
  <si>
    <r>
      <t>W</t>
    </r>
    <r>
      <rPr>
        <b/>
        <vertAlign val="subscript"/>
        <sz val="12"/>
        <color theme="1"/>
        <rFont val="Aptos Narrow (Body)"/>
      </rPr>
      <t>S</t>
    </r>
    <r>
      <rPr>
        <b/>
        <sz val="12"/>
        <color theme="1"/>
        <rFont val="Aptos Narrow"/>
        <scheme val="minor"/>
      </rPr>
      <t xml:space="preserve"> P-V error check</t>
    </r>
  </si>
  <si>
    <r>
      <t>f</t>
    </r>
    <r>
      <rPr>
        <b/>
        <vertAlign val="subscript"/>
        <sz val="12"/>
        <color theme="1"/>
        <rFont val="Aptos Narrow (Body)"/>
      </rPr>
      <t>1</t>
    </r>
  </si>
  <si>
    <r>
      <t>f</t>
    </r>
    <r>
      <rPr>
        <b/>
        <vertAlign val="subscript"/>
        <sz val="12"/>
        <color theme="1"/>
        <rFont val="Aptos Narrow (Body)"/>
      </rPr>
      <t>2</t>
    </r>
  </si>
  <si>
    <r>
      <t>F</t>
    </r>
    <r>
      <rPr>
        <b/>
        <vertAlign val="subscript"/>
        <sz val="12"/>
        <color theme="1"/>
        <rFont val="Aptos Narrow (Body)"/>
      </rPr>
      <t>1</t>
    </r>
  </si>
  <si>
    <t>Factor (mm)</t>
  </si>
  <si>
    <r>
      <t>m</t>
    </r>
    <r>
      <rPr>
        <b/>
        <vertAlign val="subscript"/>
        <sz val="12"/>
        <color theme="1"/>
        <rFont val="Aptos Narrow (Body)"/>
      </rPr>
      <t>F</t>
    </r>
  </si>
  <si>
    <r>
      <t>m</t>
    </r>
    <r>
      <rPr>
        <b/>
        <vertAlign val="subscript"/>
        <sz val="12"/>
        <color theme="1"/>
        <rFont val="Aptos Narrow (Body)"/>
      </rPr>
      <t>i</t>
    </r>
  </si>
  <si>
    <t>m(avg)</t>
  </si>
  <si>
    <t>η</t>
  </si>
  <si>
    <t>k</t>
  </si>
  <si>
    <t>ρ</t>
  </si>
  <si>
    <t>Check K1</t>
  </si>
  <si>
    <t>Coefficient K1 as  built</t>
  </si>
  <si>
    <t>Coefficient using check K1</t>
  </si>
  <si>
    <r>
      <t>W</t>
    </r>
    <r>
      <rPr>
        <b/>
        <vertAlign val="subscript"/>
        <sz val="12"/>
        <color theme="1"/>
        <rFont val="Aptos Narrow (Body)"/>
      </rPr>
      <t>S</t>
    </r>
    <r>
      <rPr>
        <b/>
        <sz val="12"/>
        <color theme="1"/>
        <rFont val="Aptos Narrow"/>
        <scheme val="minor"/>
      </rPr>
      <t xml:space="preserve"> P-V error with as built K1 (nm)</t>
    </r>
  </si>
  <si>
    <t>BK6</t>
  </si>
  <si>
    <r>
      <t>W</t>
    </r>
    <r>
      <rPr>
        <b/>
        <vertAlign val="subscript"/>
        <sz val="12"/>
        <color theme="1"/>
        <rFont val="Aptos Narrow (Body)"/>
      </rPr>
      <t>S</t>
    </r>
    <r>
      <rPr>
        <b/>
        <sz val="12"/>
        <color theme="1"/>
        <rFont val="Aptos Narrow"/>
        <family val="2"/>
        <scheme val="minor"/>
      </rPr>
      <t xml:space="preserve"> rms error (nm)</t>
    </r>
  </si>
  <si>
    <t>Coma @ 1/3 of FOV</t>
  </si>
  <si>
    <t>Coma @ 2/3 of FOV</t>
  </si>
  <si>
    <r>
      <t>c</t>
    </r>
    <r>
      <rPr>
        <b/>
        <vertAlign val="subscript"/>
        <sz val="12"/>
        <color theme="1"/>
        <rFont val="Aptos Narrow (Body)"/>
      </rPr>
      <t>s</t>
    </r>
    <r>
      <rPr>
        <b/>
        <sz val="12"/>
        <color theme="1"/>
        <rFont val="Aptos Narrow"/>
        <family val="2"/>
        <scheme val="minor"/>
      </rPr>
      <t xml:space="preserve"> (mm</t>
    </r>
    <r>
      <rPr>
        <b/>
        <vertAlign val="superscript"/>
        <sz val="12"/>
        <color theme="1"/>
        <rFont val="Aptos Narrow (Body)"/>
      </rPr>
      <t>-2</t>
    </r>
    <r>
      <rPr>
        <b/>
        <sz val="12"/>
        <color theme="1"/>
        <rFont val="Aptos Narrow"/>
        <family val="2"/>
        <scheme val="minor"/>
      </rPr>
      <t>)</t>
    </r>
  </si>
  <si>
    <r>
      <t>W</t>
    </r>
    <r>
      <rPr>
        <b/>
        <vertAlign val="subscript"/>
        <sz val="12"/>
        <color theme="1"/>
        <rFont val="Aptos Narrow (Body)"/>
      </rPr>
      <t>c1</t>
    </r>
    <r>
      <rPr>
        <b/>
        <sz val="12"/>
        <color theme="1"/>
        <rFont val="Aptos Narrow"/>
        <family val="2"/>
        <scheme val="minor"/>
      </rPr>
      <t xml:space="preserve"> (rms) (nm)</t>
    </r>
  </si>
  <si>
    <r>
      <t>W</t>
    </r>
    <r>
      <rPr>
        <b/>
        <vertAlign val="subscript"/>
        <sz val="12"/>
        <color theme="1"/>
        <rFont val="Aptos Narrow (Body)"/>
      </rPr>
      <t>c1</t>
    </r>
    <r>
      <rPr>
        <b/>
        <sz val="12"/>
        <color theme="1"/>
        <rFont val="Aptos Narrow"/>
        <family val="2"/>
        <scheme val="minor"/>
      </rPr>
      <t xml:space="preserve"> (mm)</t>
    </r>
  </si>
  <si>
    <r>
      <t>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(arcmin)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</si>
</sst>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000"/>
    <numFmt numFmtId="167" formatCode="0.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b/>
      <vertAlign val="subscript"/>
      <sz val="12"/>
      <color theme="1"/>
      <name val="Aptos Narrow (Body)"/>
    </font>
    <font>
      <b/>
      <sz val="12"/>
      <color theme="1"/>
      <name val="Aptos Narrow (Body)"/>
    </font>
    <font>
      <sz val="10"/>
      <color rgb="FF000000"/>
      <name val="Tahoma"/>
      <family val="2"/>
    </font>
    <font>
      <b/>
      <vertAlign val="superscript"/>
      <sz val="12"/>
      <color theme="1"/>
      <name val="Aptos Narrow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167" fontId="0" fillId="0" borderId="0" xfId="0" applyNumberFormat="1" applyAlignment="1">
      <alignment horizontal="center"/>
    </xf>
    <xf numFmtId="4" fontId="1" fillId="0" borderId="0" xfId="0" applyNumberFormat="1" applyFont="1" applyAlignment="1">
      <alignment horizontal="center" wrapText="1"/>
    </xf>
    <xf numFmtId="1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Zavala, Robert T (Bob) JR CIV USN NAVOBSYSTA FLG AZ (USA)" id="{8C851638-141B-034A-B4A3-8E6355A961FE}" userId="S::robert.t.zavala.civ@us.navy.mil::0e525848-4c34-445f-9460-d81d21eb6f6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6" dT="2025-12-15T19:11:14.87" personId="{8C851638-141B-034A-B4A3-8E6355A961FE}" id="{DC6C2B91-7A5F-0A42-90EC-8C858E3ABAE9}">
    <text>Assume 11 micron pixels and 2048 square sCMOS Andor camera. FoV is along diagonal.</text>
  </threadedComment>
  <threadedComment ref="T6" dT="2025-12-15T19:11:14.87" personId="{8C851638-141B-034A-B4A3-8E6355A961FE}" id="{2713D711-D948-104D-97BC-95D6FB52D09A}">
    <text>Assume 11 micron pixels and 2048 square sCMOS Andor camera. FoV is along diagonal.</text>
  </threadedComment>
  <threadedComment ref="A7" dT="2025-12-05T19:04:58.22" personId="{8C851638-141B-034A-B4A3-8E6355A961FE}" id="{76332FAF-1148-CC4B-826A-6C142B2B9E84}">
    <text>Spherical aberration wavefront error peak to valley error for a Dall-Kirkham telescope with K2 = zero.</text>
  </threadedComment>
  <threadedComment ref="F7" dT="2025-12-05T18:56:25.76" personId="{8C851638-141B-034A-B4A3-8E6355A961FE}" id="{5139DE3C-86E2-1D44-8B56-3499D16FF154}">
    <text>relative secondary magnification from system and primary F numbers</text>
  </threadedComment>
  <threadedComment ref="G7" dT="2025-12-05T18:56:25.76" personId="{8C851638-141B-034A-B4A3-8E6355A961FE}" id="{3C771A72-6F57-BC41-9928-D80E4CFF2B24}">
    <text>relative secondary magnification from system i-prime and i image distances</text>
  </threadedComment>
  <threadedComment ref="L7" dT="2025-12-05T22:28:03.70" personId="{8C851638-141B-034A-B4A3-8E6355A961FE}" id="{9B320D16-4345-F640-925D-85BAD0C5104F}">
    <text>This value of K1 gives a value of K2 equal to zero to within 0.006 or 6 parts in a thousand for sub-aperture corrector A.</text>
  </threadedComment>
  <threadedComment ref="O7" dT="2025-12-05T19:04:58.22" personId="{8C851638-141B-034A-B4A3-8E6355A961FE}" id="{C1D08A9C-4AEC-7946-8B79-9CAE047E7E8C}">
    <text>Spherical aberration wavefront error peak to valley error for a two-mirror Dall-Kirkham telescope with K2 = zero.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E849A-2A88-104D-9108-372B7B98600A}">
  <dimension ref="A1:Y11"/>
  <sheetViews>
    <sheetView tabSelected="1" zoomScale="130" zoomScaleNormal="130" workbookViewId="0">
      <selection activeCell="T9" sqref="T9:T11"/>
    </sheetView>
  </sheetViews>
  <sheetFormatPr baseColWidth="10" defaultRowHeight="16" x14ac:dyDescent="0.2"/>
  <cols>
    <col min="1" max="1" width="20.6640625" style="1" customWidth="1"/>
    <col min="2" max="2" width="12.5" style="1" customWidth="1"/>
    <col min="3" max="3" width="8.6640625" style="1" customWidth="1"/>
    <col min="4" max="4" width="8.33203125" style="1" customWidth="1"/>
    <col min="5" max="5" width="12" customWidth="1"/>
    <col min="6" max="6" width="9.5" customWidth="1"/>
    <col min="7" max="7" width="8.33203125" customWidth="1"/>
    <col min="8" max="8" width="7.6640625" customWidth="1"/>
    <col min="9" max="9" width="11.33203125" customWidth="1"/>
    <col min="10" max="10" width="7.83203125" customWidth="1"/>
    <col min="11" max="11" width="7.5" customWidth="1"/>
    <col min="12" max="12" width="9" customWidth="1"/>
    <col min="13" max="13" width="16.5" customWidth="1"/>
    <col min="14" max="14" width="14.83203125" customWidth="1"/>
    <col min="15" max="15" width="17" style="1" customWidth="1"/>
    <col min="17" max="17" width="12.1640625" bestFit="1" customWidth="1"/>
    <col min="21" max="21" width="10.83203125" style="1"/>
    <col min="24" max="25" width="10.83203125" style="1"/>
  </cols>
  <sheetData>
    <row r="1" spans="1:25" s="2" customFormat="1" ht="18" x14ac:dyDescent="0.25">
      <c r="A1" s="2" t="s">
        <v>0</v>
      </c>
      <c r="B1" s="2" t="s">
        <v>5</v>
      </c>
      <c r="C1" s="2" t="s">
        <v>6</v>
      </c>
      <c r="D1" s="2" t="s">
        <v>7</v>
      </c>
      <c r="E1" s="3" t="s">
        <v>8</v>
      </c>
      <c r="F1" s="2" t="s">
        <v>9</v>
      </c>
      <c r="G1" s="2" t="s">
        <v>10</v>
      </c>
      <c r="H1" s="4" t="s">
        <v>11</v>
      </c>
      <c r="I1" s="2" t="s">
        <v>12</v>
      </c>
      <c r="J1" s="2" t="s">
        <v>13</v>
      </c>
      <c r="K1" s="2" t="s">
        <v>14</v>
      </c>
      <c r="L1" s="2" t="s">
        <v>25</v>
      </c>
      <c r="M1" s="2" t="s">
        <v>15</v>
      </c>
      <c r="N1" s="2" t="s">
        <v>16</v>
      </c>
      <c r="O1" s="2" t="s">
        <v>25</v>
      </c>
      <c r="P1" s="2" t="s">
        <v>17</v>
      </c>
      <c r="Q1" s="2" t="s">
        <v>18</v>
      </c>
      <c r="R1" s="2" t="s">
        <v>25</v>
      </c>
      <c r="S1" s="2" t="s">
        <v>19</v>
      </c>
      <c r="T1" s="2" t="s">
        <v>20</v>
      </c>
      <c r="U1" s="2" t="s">
        <v>25</v>
      </c>
      <c r="V1" s="2" t="s">
        <v>21</v>
      </c>
      <c r="W1" s="2" t="s">
        <v>22</v>
      </c>
      <c r="X1" s="2" t="s">
        <v>25</v>
      </c>
      <c r="Y1" s="2" t="s">
        <v>23</v>
      </c>
    </row>
    <row r="2" spans="1:25" s="1" customFormat="1" x14ac:dyDescent="0.2">
      <c r="A2" s="1" t="s">
        <v>1</v>
      </c>
      <c r="B2" s="1">
        <v>300</v>
      </c>
      <c r="C2" s="1">
        <v>8</v>
      </c>
      <c r="D2" s="1">
        <v>-2168</v>
      </c>
      <c r="E2" s="1">
        <v>-0.81</v>
      </c>
      <c r="F2" s="1">
        <v>-682.4</v>
      </c>
      <c r="G2" s="1">
        <v>-1464</v>
      </c>
      <c r="H2" s="1">
        <v>0</v>
      </c>
      <c r="I2" s="1">
        <v>524.6</v>
      </c>
      <c r="J2" s="1">
        <v>0</v>
      </c>
      <c r="K2" s="1">
        <v>4</v>
      </c>
      <c r="L2" s="1" t="s">
        <v>26</v>
      </c>
      <c r="M2" s="1">
        <v>258</v>
      </c>
      <c r="N2" s="1">
        <v>3.1</v>
      </c>
      <c r="O2" s="1" t="s">
        <v>1</v>
      </c>
      <c r="P2" s="1">
        <v>0</v>
      </c>
      <c r="Q2" s="1">
        <v>5</v>
      </c>
      <c r="R2" s="1" t="s">
        <v>26</v>
      </c>
      <c r="S2" s="1">
        <v>-258</v>
      </c>
      <c r="T2" s="1">
        <v>362</v>
      </c>
      <c r="U2" s="1" t="s">
        <v>1</v>
      </c>
      <c r="V2" s="5" t="s">
        <v>24</v>
      </c>
      <c r="W2" s="5">
        <v>0</v>
      </c>
      <c r="X2" s="5" t="s">
        <v>24</v>
      </c>
      <c r="Y2" s="1">
        <v>0</v>
      </c>
    </row>
    <row r="3" spans="1:25" x14ac:dyDescent="0.2">
      <c r="A3" s="1" t="s">
        <v>2</v>
      </c>
      <c r="B3" s="1">
        <v>300</v>
      </c>
      <c r="C3" s="1">
        <v>7.6</v>
      </c>
      <c r="D3" s="1">
        <v>-2130</v>
      </c>
      <c r="E3" s="1">
        <v>-0.69</v>
      </c>
      <c r="F3" s="1">
        <v>-658</v>
      </c>
      <c r="G3" s="1">
        <v>-1546</v>
      </c>
      <c r="H3" s="1">
        <v>0</v>
      </c>
      <c r="I3" s="1">
        <v>639</v>
      </c>
      <c r="J3" s="1">
        <v>-117</v>
      </c>
      <c r="K3" s="1">
        <v>7</v>
      </c>
      <c r="L3" s="1" t="s">
        <v>26</v>
      </c>
      <c r="M3" s="1">
        <v>88</v>
      </c>
      <c r="N3" s="1">
        <v>11</v>
      </c>
      <c r="O3" s="1" t="s">
        <v>1</v>
      </c>
      <c r="P3" s="1">
        <v>-193</v>
      </c>
      <c r="Q3" s="1">
        <v>6</v>
      </c>
      <c r="R3" s="1" t="s">
        <v>26</v>
      </c>
      <c r="S3" s="1">
        <v>-131</v>
      </c>
      <c r="T3" s="1">
        <v>205.3</v>
      </c>
      <c r="U3" s="1" t="s">
        <v>1</v>
      </c>
      <c r="V3" s="5" t="s">
        <v>24</v>
      </c>
      <c r="W3" s="5">
        <v>0</v>
      </c>
      <c r="X3" s="5" t="s">
        <v>24</v>
      </c>
      <c r="Y3" s="1">
        <v>0</v>
      </c>
    </row>
    <row r="4" spans="1:25" x14ac:dyDescent="0.2">
      <c r="A4" s="1" t="s">
        <v>3</v>
      </c>
      <c r="B4" s="1">
        <v>300</v>
      </c>
      <c r="C4" s="1">
        <v>8</v>
      </c>
      <c r="D4" s="1">
        <v>-2880</v>
      </c>
      <c r="E4" s="1">
        <v>-0.68200000000000005</v>
      </c>
      <c r="F4" s="1">
        <v>-795</v>
      </c>
      <c r="G4" s="1">
        <v>-3290</v>
      </c>
      <c r="H4" s="1">
        <v>0</v>
      </c>
      <c r="I4" s="1">
        <v>877</v>
      </c>
      <c r="J4" s="1">
        <v>592</v>
      </c>
      <c r="K4" s="1">
        <v>9</v>
      </c>
      <c r="L4" s="1" t="s">
        <v>26</v>
      </c>
      <c r="M4" s="1">
        <v>-592</v>
      </c>
      <c r="N4" s="1">
        <v>1</v>
      </c>
      <c r="O4" s="1" t="s">
        <v>1</v>
      </c>
      <c r="P4" s="1">
        <v>124.5</v>
      </c>
      <c r="Q4" s="1">
        <v>6</v>
      </c>
      <c r="R4" s="1" t="s">
        <v>26</v>
      </c>
      <c r="S4" s="1">
        <v>82</v>
      </c>
      <c r="T4" s="1">
        <v>169.6</v>
      </c>
      <c r="U4" s="1" t="s">
        <v>1</v>
      </c>
      <c r="V4" s="5" t="s">
        <v>24</v>
      </c>
      <c r="W4" s="5">
        <v>0</v>
      </c>
      <c r="X4" s="5" t="s">
        <v>24</v>
      </c>
      <c r="Y4" s="1">
        <v>0</v>
      </c>
    </row>
    <row r="5" spans="1:25" x14ac:dyDescent="0.2">
      <c r="A5" s="1" t="s">
        <v>4</v>
      </c>
      <c r="B5" s="1">
        <v>300</v>
      </c>
      <c r="C5" s="1">
        <v>7.7</v>
      </c>
      <c r="D5" s="1">
        <v>-1616</v>
      </c>
      <c r="E5" s="1">
        <v>-0.70499999999999996</v>
      </c>
      <c r="F5" s="1">
        <v>-538</v>
      </c>
      <c r="G5" s="1">
        <v>-854</v>
      </c>
      <c r="H5" s="1">
        <v>0</v>
      </c>
      <c r="I5" s="1">
        <v>520</v>
      </c>
      <c r="J5" s="1">
        <v>0</v>
      </c>
      <c r="K5" s="1">
        <v>5</v>
      </c>
      <c r="L5" s="1" t="s">
        <v>26</v>
      </c>
      <c r="M5" s="1">
        <v>131</v>
      </c>
      <c r="N5" s="1">
        <v>5.5</v>
      </c>
      <c r="O5" s="1" t="s">
        <v>1</v>
      </c>
      <c r="P5" s="1">
        <v>0</v>
      </c>
      <c r="Q5" s="1">
        <v>6</v>
      </c>
      <c r="R5" s="1" t="s">
        <v>42</v>
      </c>
      <c r="S5" s="1">
        <v>-131</v>
      </c>
      <c r="T5" s="1">
        <v>130</v>
      </c>
      <c r="U5" s="1" t="s">
        <v>1</v>
      </c>
      <c r="V5" s="1">
        <v>-630</v>
      </c>
      <c r="W5" s="1">
        <v>5</v>
      </c>
      <c r="X5" s="1" t="s">
        <v>26</v>
      </c>
      <c r="Y5" s="1">
        <v>0</v>
      </c>
    </row>
    <row r="6" spans="1:25" ht="35" customHeight="1" x14ac:dyDescent="0.2">
      <c r="Q6" s="13" t="s">
        <v>44</v>
      </c>
      <c r="T6" s="13" t="s">
        <v>45</v>
      </c>
    </row>
    <row r="7" spans="1:25" s="11" customFormat="1" ht="38" customHeight="1" x14ac:dyDescent="0.25">
      <c r="A7" s="10" t="s">
        <v>27</v>
      </c>
      <c r="B7" s="11" t="s">
        <v>28</v>
      </c>
      <c r="C7" s="11" t="s">
        <v>29</v>
      </c>
      <c r="D7" s="11" t="s">
        <v>30</v>
      </c>
      <c r="E7" s="11" t="s">
        <v>31</v>
      </c>
      <c r="F7" s="11" t="s">
        <v>32</v>
      </c>
      <c r="G7" s="11" t="s">
        <v>33</v>
      </c>
      <c r="H7" s="11" t="s">
        <v>34</v>
      </c>
      <c r="I7" s="10" t="s">
        <v>35</v>
      </c>
      <c r="J7" s="11" t="s">
        <v>37</v>
      </c>
      <c r="K7" s="11" t="s">
        <v>36</v>
      </c>
      <c r="L7" s="11" t="s">
        <v>38</v>
      </c>
      <c r="M7" s="11" t="s">
        <v>39</v>
      </c>
      <c r="N7" s="11" t="s">
        <v>40</v>
      </c>
      <c r="O7" s="10" t="s">
        <v>41</v>
      </c>
      <c r="P7" s="11" t="s">
        <v>43</v>
      </c>
      <c r="Q7" s="11" t="s">
        <v>46</v>
      </c>
      <c r="R7" s="11" t="s">
        <v>48</v>
      </c>
      <c r="S7" s="11" t="s">
        <v>47</v>
      </c>
      <c r="T7" s="11" t="s">
        <v>49</v>
      </c>
    </row>
    <row r="8" spans="1:25" x14ac:dyDescent="0.2">
      <c r="A8" s="1" t="s">
        <v>1</v>
      </c>
      <c r="B8" s="1">
        <f>D2/2</f>
        <v>-1084</v>
      </c>
      <c r="C8" s="1">
        <f>G2/2</f>
        <v>-732</v>
      </c>
      <c r="D8" s="6">
        <f>B8/B2</f>
        <v>-3.6133333333333333</v>
      </c>
      <c r="E8" s="7">
        <f>B2/(2048*(D8^3))</f>
        <v>-3.1050401481061861E-3</v>
      </c>
      <c r="F8" s="8">
        <f>C2/D8</f>
        <v>-2.2140221402214024</v>
      </c>
      <c r="G8" s="8">
        <f>-1*(I2+K2+N2+Q2+T2+W2)/(B8-F2)</f>
        <v>2.2377988047808763</v>
      </c>
      <c r="H8" s="6">
        <f>AVERAGE(ABS(F8),G8)</f>
        <v>2.2259104725011394</v>
      </c>
      <c r="I8" s="9">
        <f>-1*(I2+K2+N2+Q2+T2+W2+F2)/B8</f>
        <v>0.19953874538745395</v>
      </c>
      <c r="J8" s="9">
        <f>G2/D2</f>
        <v>0.67527675276752763</v>
      </c>
      <c r="K8" s="9">
        <f>J8*(H8-1)/H8</f>
        <v>0.37190572275087364</v>
      </c>
      <c r="L8" s="6">
        <f>-1+(H8^2-1)*(1+I8)/H8^3</f>
        <v>-0.56986749079497645</v>
      </c>
      <c r="M8" s="9">
        <f>(E2+1-1*((1-2*J8/K8)^2)*K8^4/J8^3)</f>
        <v>-0.24020272680152921</v>
      </c>
      <c r="N8" s="9">
        <f>(L8+1-1*((1-2*K8/L8)^2)*L8^4/K8^3)</f>
        <v>-10.464878021087419</v>
      </c>
      <c r="O8" s="12">
        <f>ABS(E8*M8)*1000000</f>
        <v>745.83911040332998</v>
      </c>
      <c r="P8" s="6">
        <f>O8/6</f>
        <v>124.30651840055499</v>
      </c>
      <c r="Q8">
        <f>((1+((E2+1)*(H8-I8)*H8^2))/2*(1+I8))/(4*(C2*B2)^2)</f>
        <v>7.5689735650131182E-8</v>
      </c>
      <c r="R8" s="14">
        <f>Q8*(206265/(B2*C2))*5.3097*(1/3600)*0.017433*B2^3/12</f>
        <v>3.7633396775841552E-4</v>
      </c>
      <c r="S8" s="6">
        <f>R8*1000000/6</f>
        <v>62.722327959735914</v>
      </c>
      <c r="T8" s="6">
        <f>206265/(C2*B2)*482.7*0.011/60</f>
        <v>7.6055921562499984</v>
      </c>
    </row>
    <row r="9" spans="1:25" x14ac:dyDescent="0.2">
      <c r="A9" s="1" t="s">
        <v>2</v>
      </c>
      <c r="B9" s="1">
        <f>D3/2</f>
        <v>-1065</v>
      </c>
      <c r="C9" s="1">
        <f>G3/2</f>
        <v>-773</v>
      </c>
      <c r="D9" s="6">
        <f>B9/B3</f>
        <v>-3.55</v>
      </c>
      <c r="E9" s="7">
        <f>B3/(2048*(D9^3))</f>
        <v>-3.2742078337910825E-3</v>
      </c>
      <c r="F9" s="8">
        <f>C3/D9</f>
        <v>-2.140845070422535</v>
      </c>
      <c r="G9" s="8">
        <f>-1*(I3+K3+N3+Q3+T3+W3)/(B9-F3)</f>
        <v>2.1334152334152332</v>
      </c>
      <c r="H9" s="6">
        <f>AVERAGE(ABS(F9),G9)</f>
        <v>2.1371301519188841</v>
      </c>
      <c r="I9" s="9">
        <f>-1*(I3+K3+N3+Q3+T3+W3+F3)/B9</f>
        <v>0.19746478873239431</v>
      </c>
      <c r="J9" s="9">
        <f>G3/D3</f>
        <v>0.72582159624413145</v>
      </c>
      <c r="K9" s="9">
        <f>J9*(H9-1)/H9</f>
        <v>0.38619717253159735</v>
      </c>
      <c r="L9" s="6">
        <f>-1+(H9^2-1)*(1+I9)/H9^3</f>
        <v>-0.5623644944688232</v>
      </c>
      <c r="M9" s="9">
        <f>(E3+1-1*((1-2*J9/K9)^2)*K9^4/J9^3)</f>
        <v>-0.13278349512403137</v>
      </c>
      <c r="N9" s="9">
        <f>(L9+1-1*((1-2*K9/L9)^2)*L9^4/K9^3)</f>
        <v>-9.344059744663058</v>
      </c>
      <c r="O9" s="12">
        <f>ABS(E9*M9)*1000000</f>
        <v>434.7607599332635</v>
      </c>
      <c r="P9" s="6">
        <f t="shared" ref="P9:P11" si="0">O9/6</f>
        <v>72.460126655543917</v>
      </c>
      <c r="Q9">
        <f t="shared" ref="Q9:Q11" si="1">((1+((E3+1)*(H9-I9)*H9^2))/2*(1+I9))/(4*(C3*B3)^2)</f>
        <v>1.0787167801592107E-7</v>
      </c>
      <c r="R9" s="14">
        <f t="shared" ref="R9:R11" si="2">Q9*(206265/(B3*C3))*5.3097*(1/3600)*0.017433*B3^3/12</f>
        <v>5.6457320203738418E-4</v>
      </c>
      <c r="S9" s="6">
        <f t="shared" ref="S9:S11" si="3">R9*1000000/6</f>
        <v>94.095533672897361</v>
      </c>
      <c r="T9" s="6">
        <f t="shared" ref="T9:T11" si="4">206265/(C3*B3)*482.7*0.011/60</f>
        <v>8.0058864802631557</v>
      </c>
    </row>
    <row r="10" spans="1:25" x14ac:dyDescent="0.2">
      <c r="A10" s="1" t="s">
        <v>3</v>
      </c>
      <c r="B10" s="1">
        <f>D4/2</f>
        <v>-1440</v>
      </c>
      <c r="C10" s="1">
        <f>G4/2</f>
        <v>-1645</v>
      </c>
      <c r="D10" s="6">
        <f>B10/B4</f>
        <v>-4.8</v>
      </c>
      <c r="E10" s="7">
        <f>B4/(2048*(D10^3))</f>
        <v>-1.3245476616753472E-3</v>
      </c>
      <c r="F10" s="8">
        <f>C4/D10</f>
        <v>-1.6666666666666667</v>
      </c>
      <c r="G10" s="8">
        <f>-1*(I4+K4+N4+Q4+T4+W4)/(B10-F4)</f>
        <v>1.6474418604651162</v>
      </c>
      <c r="H10" s="6">
        <f>AVERAGE(ABS(F10),G10)</f>
        <v>1.6570542635658914</v>
      </c>
      <c r="I10" s="9">
        <f>-1*(I4+K4+N4+Q4+T4+W4+F4)/B10</f>
        <v>0.18583333333333327</v>
      </c>
      <c r="J10" s="9">
        <f>G4/D4</f>
        <v>1.1423611111111112</v>
      </c>
      <c r="K10" s="9">
        <f>J10*(H10-1)/H10</f>
        <v>0.45296841213406519</v>
      </c>
      <c r="L10" s="6">
        <f>-1+(H10^2-1)*(1+I10)/H10^3</f>
        <v>-0.54499609478067024</v>
      </c>
      <c r="M10" s="9">
        <f>(E4+1-1*((1-2*J10/K10)^2)*K10^4/J10^3)</f>
        <v>-0.14380625544666259</v>
      </c>
      <c r="N10" s="9">
        <f>(L10+1-1*((1-2*K10/L10)^2)*L10^4/K10^3)</f>
        <v>-6.2728677291284107</v>
      </c>
      <c r="O10" s="12">
        <f>ABS(E10*M10)*1000000</f>
        <v>190.4782393861646</v>
      </c>
      <c r="P10" s="6">
        <f t="shared" si="0"/>
        <v>31.746373231027434</v>
      </c>
      <c r="Q10">
        <f t="shared" si="1"/>
        <v>5.8793226278467079E-8</v>
      </c>
      <c r="R10" s="14">
        <f t="shared" si="2"/>
        <v>2.9232349581677418E-4</v>
      </c>
      <c r="S10" s="6">
        <f t="shared" si="3"/>
        <v>48.720582636129031</v>
      </c>
      <c r="T10" s="6">
        <f t="shared" si="4"/>
        <v>7.6055921562499984</v>
      </c>
    </row>
    <row r="11" spans="1:25" x14ac:dyDescent="0.2">
      <c r="A11" s="1" t="s">
        <v>4</v>
      </c>
      <c r="B11" s="1">
        <f>D5/2</f>
        <v>-808</v>
      </c>
      <c r="C11" s="1">
        <f>G5/2</f>
        <v>-427</v>
      </c>
      <c r="D11" s="6">
        <f>B11/B5</f>
        <v>-2.6933333333333334</v>
      </c>
      <c r="E11" s="7">
        <f>B5/(2048*(D11^3))</f>
        <v>-7.4975778562678527E-3</v>
      </c>
      <c r="F11" s="8">
        <f>C5/D11</f>
        <v>-2.858910891089109</v>
      </c>
      <c r="G11" s="8">
        <f>-1*(I5+K5+N5+Q5+T5+W5)/(B11-F5)</f>
        <v>2.4870370370370369</v>
      </c>
      <c r="H11" s="6">
        <f>AVERAGE(ABS(F11),G11)</f>
        <v>2.6729739640630727</v>
      </c>
      <c r="I11" s="9">
        <f>-1*(I5+K5+N5+Q5+T5+W5+F5)/B11</f>
        <v>0.16522277227722773</v>
      </c>
      <c r="J11" s="9">
        <f>G5/D5</f>
        <v>0.52846534653465349</v>
      </c>
      <c r="K11" s="9">
        <f>J11*(H11-1)/H11</f>
        <v>0.33075846512105528</v>
      </c>
      <c r="L11" s="6">
        <f>-1+(H11^2-1)*(1+I11)/H11^3</f>
        <v>-0.62508586888211104</v>
      </c>
      <c r="M11" s="9">
        <f>(E5+1-1*((1-2*J11/K11)^2)*K11^4/J11^3)</f>
        <v>-9.5887393457391834E-2</v>
      </c>
      <c r="N11" s="9">
        <f>(L11+1-1*((1-2*K11/L11)^2)*L11^4/K11^3)</f>
        <v>-17.499649249772947</v>
      </c>
      <c r="O11" s="12">
        <f>ABS(E11*M11)*1000000</f>
        <v>718.923197881384</v>
      </c>
      <c r="P11" s="6">
        <f t="shared" si="0"/>
        <v>119.82053298023067</v>
      </c>
      <c r="Q11">
        <f t="shared" si="1"/>
        <v>1.7157070002021576E-7</v>
      </c>
      <c r="R11" s="14">
        <f t="shared" si="2"/>
        <v>8.8629605442545965E-4</v>
      </c>
      <c r="S11" s="6">
        <f t="shared" si="3"/>
        <v>147.71600907090993</v>
      </c>
      <c r="T11" s="6">
        <f t="shared" si="4"/>
        <v>7.9019139285714282</v>
      </c>
    </row>
  </sheetData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Dall-Kirkham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Zavala, Robert T (Bob) JR CIV USN NAVOBSYSTA FLG AZ (USA)</dc:creator>
  <cp:lastModifiedBy>Zavala, Robert T (Bob) JR CIV USN NAVOBSYSTA FLG AZ (U</cp:lastModifiedBy>
  <dcterms:created xsi:type="dcterms:W3CDTF">2025-12-05T16:44:40Z</dcterms:created>
  <dcterms:modified xsi:type="dcterms:W3CDTF">2025-12-15T19:53:24Z</dcterms:modified>
</cp:coreProperties>
</file>